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Isolates" sheetId="3" state="visible" r:id="rId3"/>
    <sheet xmlns:r="http://schemas.openxmlformats.org/officeDocument/2006/relationships" name="SRA_runs_for_Galaxy" sheetId="4" state="visible" r:id="rId4"/>
    <sheet xmlns:r="http://schemas.openxmlformats.org/officeDocument/2006/relationships" name="Galaxy_results" sheetId="5" state="visible" r:id="rId5"/>
  </sheets>
  <definedNames>
    <definedName name="_xlnm._FilterDatabase" localSheetId="2" hidden="1">'Isolates'!$A$1:$AC$119</definedName>
    <definedName name="_xlnm._FilterDatabase" localSheetId="3" hidden="1">'SRA_runs_for_Galaxy'!$A$1:$H$45</definedName>
    <definedName name="_xlnm._FilterDatabase" localSheetId="4" hidden="1">'Galaxy_results'!$A$1:$Z$119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1"/>
    </font>
    <font>
      <name val="Arial"/>
      <charset val="1"/>
      <family val="0"/>
      <b val="1"/>
      <sz val="11"/>
    </font>
    <font>
      <name val="Arial"/>
      <charset val="1"/>
      <family val="0"/>
      <b val="1"/>
      <sz val="12"/>
    </font>
    <font>
      <name val="Arial"/>
      <charset val="1"/>
      <family val="0"/>
      <i val="1"/>
      <sz val="11"/>
    </font>
    <font>
      <name val="Arial"/>
      <charset val="1"/>
      <family val="0"/>
      <b val="1"/>
      <color rgb="FFFFFFFF"/>
      <sz val="11"/>
    </font>
    <font>
      <name val="Arial"/>
      <charset val="1"/>
      <family val="0"/>
      <sz val="10"/>
    </font>
    <font>
      <b val="1"/>
    </font>
  </fonts>
  <fills count="4">
    <fill>
      <patternFill/>
    </fill>
    <fill>
      <patternFill patternType="gray125"/>
    </fill>
    <fill>
      <patternFill patternType="solid">
        <fgColor rgb="FF1F4E78"/>
        <bgColor rgb="FF003366"/>
      </patternFill>
    </fill>
    <fill>
      <patternFill patternType="solid">
        <fgColor rgb="FFFFF2CC"/>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6" fillId="2"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0" fontId="5" fillId="3" borderId="0" applyAlignment="1" pivotButton="0" quotePrefix="0" xfId="0">
      <alignment horizontal="general" vertical="bottom"/>
    </xf>
    <xf numFmtId="0" fontId="9" fillId="2" borderId="0" applyAlignment="1" pivotButton="0" quotePrefix="0" xfId="0">
      <alignment horizontal="general" vertical="bottom"/>
    </xf>
    <xf numFmtId="0" fontId="9" fillId="2" borderId="0" applyAlignment="1" pivotButton="0" quotePrefix="0" xfId="0">
      <alignment horizontal="general" vertical="top" wrapText="1"/>
    </xf>
    <xf numFmtId="0" fontId="10" fillId="0" borderId="0" applyAlignment="1" pivotButton="0" quotePrefix="0" xfId="0">
      <alignment horizontal="general" vertical="bottom"/>
    </xf>
    <xf numFmtId="3" fontId="10" fillId="0" borderId="0" applyAlignment="1" pivotButton="0" quotePrefix="0" xfId="0">
      <alignment horizontal="general" vertical="bottom"/>
    </xf>
    <xf numFmtId="164"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general" vertical="bottom"/>
    </xf>
    <xf numFmtId="0" fontId="6" fillId="2" borderId="0" applyAlignment="1" pivotButton="0" quotePrefix="0" xfId="0">
      <alignment horizontal="general" vertical="bottom" wrapText="1"/>
    </xf>
    <xf numFmtId="0" fontId="5" fillId="0" borderId="0" applyAlignment="1" pivotButton="0" quotePrefix="0" xfId="0">
      <alignment horizontal="general" vertical="bottom" wrapText="1"/>
    </xf>
    <xf numFmtId="0" fontId="8" fillId="0" borderId="0" applyAlignment="1" pivotButton="0" quotePrefix="0" xfId="0">
      <alignment horizontal="general" vertical="bottom"/>
    </xf>
    <xf numFmtId="0" fontId="9" fillId="2" borderId="0" applyAlignment="1" pivotButton="0" quotePrefix="0" xfId="0">
      <alignment horizontal="general" vertical="center" wrapText="1"/>
    </xf>
    <xf numFmtId="0" fontId="5" fillId="3" borderId="0" applyAlignment="1" pivotButton="0" quotePrefix="0" xfId="0">
      <alignment horizontal="general" vertical="bottom"/>
    </xf>
    <xf numFmtId="0" fontId="9" fillId="2" borderId="0" applyAlignment="1" pivotButton="0" quotePrefix="0" xfId="0">
      <alignment horizontal="general" vertical="bottom"/>
    </xf>
    <xf numFmtId="0" fontId="9" fillId="2" borderId="0" applyAlignment="1" pivotButton="0" quotePrefix="0" xfId="0">
      <alignment horizontal="general" vertical="top" wrapText="1"/>
    </xf>
    <xf numFmtId="0" fontId="10" fillId="0" borderId="0" applyAlignment="1" pivotButton="0" quotePrefix="0" xfId="0">
      <alignment horizontal="general" vertical="bottom"/>
    </xf>
    <xf numFmtId="3" fontId="10" fillId="0" borderId="0" applyAlignment="1" pivotButton="0" quotePrefix="0" xfId="0">
      <alignment horizontal="general" vertical="bottom"/>
    </xf>
    <xf numFmtId="164" fontId="10" fillId="0" borderId="0" applyAlignment="1" pivotButton="0" quotePrefix="0" xfId="0">
      <alignment horizontal="general" vertical="bottom"/>
    </xf>
    <xf numFmtId="0" fontId="11"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9" min="1" max="1"/>
  </cols>
  <sheetData>
    <row r="1" ht="15.75" customHeight="1" s="20">
      <c r="A1" s="21" t="inlineStr">
        <is>
          <t>Colistin resistant E. coli genomes from Africa in NCBI Pathogen Detection (v2, 127 genomes)</t>
        </is>
      </c>
    </row>
    <row r="2" ht="15" customHeight="1" s="20">
      <c r="A2" s="22" t="inlineStr">
        <is>
          <t>Source: NCBI Pathogen Detection build PDG000000004.6345 (published 2026-10-06), per-isolate metadata table retrieved in full and country assigned locally. Supersedes the v1 cohort of 118 genomes, which was retrieved on 26 September 2026 by filtering on a 45-name African country list at query time; that list omitted nine of the 54 African Union member states, including South Africa, the Central African Republic and the Democratic Republic of the Congo, and nine genomes were missed as a result. All 118 v1 genomes are retained here and none was dropped.</t>
        </is>
      </c>
    </row>
    <row r="3" ht="15" customHeight="1" s="20">
      <c r="A3" s="22" t="inlineStr">
        <is>
          <t>Source: NCBI Pathogen Detection Isolates Browser (https://www.ncbi.nlm.nih.gov/pathogens/isolates/), queried 26 September 2026.</t>
        </is>
      </c>
    </row>
    <row r="4" ht="15" customHeight="1" s="20">
      <c r="A4" s="22" t="inlineStr">
        <is>
          <t>SRA run accessions were linked to each BioSample through NCBI E-utilities (esearch/esummary, db=sra) on the same date.</t>
        </is>
      </c>
    </row>
    <row r="5" ht="26.25" customHeight="1" s="20">
      <c r="A5" s="22" t="inlineStr">
        <is>
          <t>Query: taxgroup_name:"E.coli and Shigella" AND AMR_genotypes:mcr* AND geo_loc_name matching any of 45 African country names (wildcard).</t>
        </is>
      </c>
    </row>
    <row r="6" ht="26.25" customHeight="1" s="20">
      <c r="A6" s="22" t="inlineStr">
        <is>
          <t>Resistance genotypes are the AMRFinderPlus calls computed by NCBI. Intrinsic E. coli genes (acrF, blaEC, mdtM, emrD, emrE, mrx(A)) were removed for readability; point mutations were kept.</t>
        </is>
      </c>
    </row>
    <row r="7" ht="15" customHeight="1" s="20">
      <c r="A7" s="22" t="n"/>
    </row>
    <row r="8" ht="15" customHeight="1" s="20">
      <c r="A8" s="23" t="inlineStr">
        <is>
          <t>Sheets</t>
        </is>
      </c>
    </row>
    <row r="9" ht="26.25" customHeight="1" s="20">
      <c r="A9" s="22" t="inlineStr">
        <is>
          <t>Isolates: one row per genome (118). Columns in yellow (ST, mcr plasmid replicon, notes) are for you to fill from the Galaxy MLST and PlasmidFinder output.</t>
        </is>
      </c>
    </row>
    <row r="10" ht="26.25" customHeight="1" s="20">
      <c r="A10" s="22" t="inlineStr">
        <is>
          <t>SRA_runs_for_Galaxy: Illumina paired-end runs to paste into the Galaxy "Faster Download and Extract Reads in FASTQ" tool, plus long-read runs listed separately.</t>
        </is>
      </c>
    </row>
    <row r="11" ht="15" customHeight="1" s="20">
      <c r="A11" s="22" t="inlineStr">
        <is>
          <t>Summary: live COUNTIFS tables by country, sector and mcr variant. They update if you edit the Isolates sheet.</t>
        </is>
      </c>
    </row>
    <row r="12" ht="15" customHeight="1" s="20">
      <c r="A12" s="22" t="n"/>
    </row>
    <row r="13" ht="15" customHeight="1" s="20">
      <c r="A13" s="23" t="inlineStr">
        <is>
          <t>Derived fields and caveats</t>
        </is>
      </c>
    </row>
    <row r="14" ht="39" customHeight="1" s="20">
      <c r="A14" s="22" t="inlineStr">
        <is>
          <t>Sector was assigned from the submitted host and isolation source: Poultry (Gallus, chicken, poultry farm, poultry water, chicken meat/carcass/offal/faeces), Human (Homo sapiens), Other animal (cat, starling), Food non-poultry (unspecified meat, raw milk cheese, sausage), Environment (wastewater, bathing water), Unspecified (no usable metadata).</t>
        </is>
      </c>
    </row>
    <row r="15" ht="39" customHeight="1" s="20">
      <c r="A15" s="22" t="inlineStr">
        <is>
          <t>Several records are ambiguous and should be checked against the source publication: Tanzania PRJNA579251 "stool" (environmental/other), Rwanda PRJEB42795 rectal swabs with no host, Malawi and Ethiopia runs with no host, Algeria PRJEB126541 with no host, Tunisia PRJNA1242575 "meat" of unstated species.</t>
        </is>
      </c>
    </row>
    <row r="16" ht="39" customHeight="1" s="20">
      <c r="A16" s="22" t="inlineStr">
        <is>
          <t>Only 35 of the 118 genomes have Illumina paired-end reads in SRA, and a further 5 (Egypt, chicken faeces) have Oxford Nanopore reads only. The remaining 78 are GenBank assemblies without linked reads; for those, download the GCA assembly and start the Galaxy workflow at the annotation step (AMRFinderPlus, MLST, PlasmidFinder).</t>
        </is>
      </c>
    </row>
    <row r="17" ht="26.25" customHeight="1" s="20">
      <c r="A17" s="22" t="inlineStr">
        <is>
          <t>Isolates where AMRFinderPlus reported two mcr-1 calls (e.g., mcr-1.1 and mcr-1) may carry a second, partial or split copy. Confirm on your own assembly.</t>
        </is>
      </c>
    </row>
    <row r="18" ht="26.25" customHeight="1" s="20">
      <c r="A18" s="22" t="inlineStr">
        <is>
          <t>Pathogen Detection only contains genomes that NCBI has processed. Genomes deposited only in ENA/DDBJ without NCBI processing, or with country missing from geo_loc_name, will not appear. A complementary SRA text search is described in the protocol.</t>
        </is>
      </c>
    </row>
    <row r="19" ht="15" customHeight="1" s="20">
      <c r="A19" s="22" t="inlineStr">
        <is>
          <t>No MLST is supplied by Pathogen Detection for E. coli, so ST is left to be computed in Galaxy.</t>
        </is>
      </c>
    </row>
    <row r="21" ht="15" customHeight="1" s="20">
      <c r="A21" s="24" t="inlineStr">
        <is>
          <t>Galaxy run (October 2026)</t>
        </is>
      </c>
    </row>
    <row r="22" ht="15" customHeight="1" s="20">
      <c r="A22" s="25" t="inlineStr">
        <is>
          <t>Tools on usegalaxy.eu: fasterq-dump 3.1.1, fastp 1.3.7 (Q20, min length 50), Shovill 1.4.2 (SPAdes, 5.1M, depth 100, min contig 200), QUAST 5.3.0, NCBI Datasets 18.33.1, AMRFinderPlus 4.2.7 (database V4.2-2026-05-15.1, organism Escherichia, plus genes on), ABRicate 1.4.0 (NCBI and ResFinder 80/80, PlasmidFinder 95/60), MLST 2.22.0 (scheme ecoli_achtman_4 set explicitly under advanced settings; a first run in simple mode fell back to auto detection, and the explicit rerun on all 118 assemblies gave identical STs except GCA_050938835.1), MOB-Recon 3.1.9. Galaxy workflows saved: "mcr Africa read to assembly" (fastp, Shovill, QUAST) and "mcr Africa typing" (AMRFinderPlus, ABRicate x3, MLST). Collapsed tables for AMRFinderPlus, PlasmidFinder, MLST and MOB-Recon are in history "mcr Africa C typing".</t>
        </is>
      </c>
    </row>
    <row r="23" ht="15" customHeight="1" s="20">
      <c r="A23" s="25" t="inlineStr">
        <is>
          <t>Galaxy_results: QC, mcr call, mcr contig, replicon linkage and MLST for each of the 118 genomes. Yellow columns in Isolates were filled from this sheet.</t>
        </is>
      </c>
    </row>
    <row r="24" ht="15" customHeight="1" s="20">
      <c r="A24" s="19" t="inlineStr">
        <is>
          <t>Follow-up checks: SRR9099604 (SAMN11553648) was typed from GCA_006348965.1 after failing the 30x read depth threshold. For GCA_007993675.2 the plasmid CP042471.2 was compared with CP042470.1 by BLASTN (megablast, e-value 1e-20) and both contigs were run through MOB-Recon; ISEScan output is in history "mcr Africa C typing".</t>
        </is>
      </c>
    </row>
    <row r="25" ht="15" customHeight="1" s="20">
      <c r="A25" s="25" t="inlineStr">
        <is>
          <t>Reconciliation (4 October 2026): every filled cell in Isolates (ST, mcr replicon) and every typing and QC column in Galaxy_results was compared by script with the Galaxy outputs re-downloaded from history "mcr Africa C typing" (collapsed AMRFinderPlus, PlasmidFinder and MOB-Recon tables, the explicit-scheme MLST run, QUAST reports and fastp JSON). 118 of 118 genomes matched. The Galaxy_results sheet was rebuilt from those outputs after a column offset was found in the earlier version. The Summary ST and replicon tables were recounted independently and matched.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46" customWidth="1" style="20" min="1" max="1"/>
    <col width="15" customWidth="1" style="20" min="2" max="2"/>
    <col width="15" customWidth="1" style="20" min="3" max="3"/>
    <col width="15" customWidth="1" style="20" min="4" max="4"/>
    <col width="15" customWidth="1" style="20" min="5" max="5"/>
    <col width="15" customWidth="1" style="20" min="6" max="6"/>
    <col width="15" customWidth="1" style="20" min="7" max="7"/>
    <col width="15" customWidth="1" style="20" min="8" max="8"/>
    <col width="15" customWidth="1" style="20" min="9" max="9"/>
  </cols>
  <sheetData>
    <row r="1">
      <c r="A1" s="37" t="inlineStr">
        <is>
          <t>Analysed genomes by country and sector (126 of the 127 retrieved; GCA_015208565.1 excluded at quality control)</t>
        </is>
      </c>
    </row>
    <row r="2">
      <c r="A2" s="37" t="inlineStr">
        <is>
          <t>Country</t>
        </is>
      </c>
      <c r="B2" s="37" t="inlineStr">
        <is>
          <t>Poultry</t>
        </is>
      </c>
      <c r="C2" s="37" t="inlineStr">
        <is>
          <t>Human</t>
        </is>
      </c>
      <c r="D2" s="37" t="inlineStr">
        <is>
          <t>Other animal</t>
        </is>
      </c>
      <c r="E2" s="37" t="inlineStr">
        <is>
          <t>Food (non-poultry)</t>
        </is>
      </c>
      <c r="F2" s="37" t="inlineStr">
        <is>
          <t>Environment</t>
        </is>
      </c>
      <c r="G2" s="37" t="inlineStr">
        <is>
          <t>Unspecified</t>
        </is>
      </c>
      <c r="H2" s="37" t="inlineStr">
        <is>
          <t>Total</t>
        </is>
      </c>
      <c r="I2" s="37" t="inlineStr">
        <is>
          <t>With Illumina reads</t>
        </is>
      </c>
    </row>
    <row r="3">
      <c r="A3" s="19" t="inlineStr">
        <is>
          <t>Algeria</t>
        </is>
      </c>
      <c r="B3" s="19">
        <f>COUNTIFS(Isolates!$I$2:$I$128,$A3,Isolates!$O$2:$O$128,B$2,Isolates!$AG$2:$AG$128,"Yes")</f>
        <v/>
      </c>
      <c r="C3" s="19">
        <f>COUNTIFS(Isolates!$I$2:$I$128,$A3,Isolates!$O$2:$O$128,C$2,Isolates!$AG$2:$AG$128,"Yes")</f>
        <v/>
      </c>
      <c r="D3" s="19">
        <f>COUNTIFS(Isolates!$I$2:$I$128,$A3,Isolates!$O$2:$O$128,D$2,Isolates!$AG$2:$AG$128,"Yes")</f>
        <v/>
      </c>
      <c r="E3" s="19">
        <f>COUNTIFS(Isolates!$I$2:$I$128,$A3,Isolates!$O$2:$O$128,E$2,Isolates!$AG$2:$AG$128,"Yes")</f>
        <v/>
      </c>
      <c r="F3" s="19">
        <f>COUNTIFS(Isolates!$I$2:$I$128,$A3,Isolates!$O$2:$O$128,F$2,Isolates!$AG$2:$AG$128,"Yes")</f>
        <v/>
      </c>
      <c r="G3" s="19">
        <f>COUNTIFS(Isolates!$I$2:$I$128,$A3,Isolates!$O$2:$O$128,G$2,Isolates!$AG$2:$AG$128,"Yes")</f>
        <v/>
      </c>
      <c r="H3" s="19">
        <f>SUM(B3:G3)</f>
        <v/>
      </c>
      <c r="I3" s="19">
        <f>COUNTIFS(Isolates!$I$2:$I$128,$A3,Isolates!$G$2:$G$128,"SRA Illumina PE reads",Isolates!$AG$2:$AG$128,"Yes")</f>
        <v/>
      </c>
    </row>
    <row r="4">
      <c r="A4" s="19" t="inlineStr">
        <is>
          <t>Cameroon</t>
        </is>
      </c>
      <c r="B4" s="19">
        <f>COUNTIFS(Isolates!$I$2:$I$128,$A4,Isolates!$O$2:$O$128,B$2,Isolates!$AG$2:$AG$128,"Yes")</f>
        <v/>
      </c>
      <c r="C4" s="19">
        <f>COUNTIFS(Isolates!$I$2:$I$128,$A4,Isolates!$O$2:$O$128,C$2,Isolates!$AG$2:$AG$128,"Yes")</f>
        <v/>
      </c>
      <c r="D4" s="19">
        <f>COUNTIFS(Isolates!$I$2:$I$128,$A4,Isolates!$O$2:$O$128,D$2,Isolates!$AG$2:$AG$128,"Yes")</f>
        <v/>
      </c>
      <c r="E4" s="19">
        <f>COUNTIFS(Isolates!$I$2:$I$128,$A4,Isolates!$O$2:$O$128,E$2,Isolates!$AG$2:$AG$128,"Yes")</f>
        <v/>
      </c>
      <c r="F4" s="19">
        <f>COUNTIFS(Isolates!$I$2:$I$128,$A4,Isolates!$O$2:$O$128,F$2,Isolates!$AG$2:$AG$128,"Yes")</f>
        <v/>
      </c>
      <c r="G4" s="19">
        <f>COUNTIFS(Isolates!$I$2:$I$128,$A4,Isolates!$O$2:$O$128,G$2,Isolates!$AG$2:$AG$128,"Yes")</f>
        <v/>
      </c>
      <c r="H4" s="19">
        <f>SUM(B4:G4)</f>
        <v/>
      </c>
      <c r="I4" s="19">
        <f>COUNTIFS(Isolates!$I$2:$I$128,$A4,Isolates!$G$2:$G$128,"SRA Illumina PE reads",Isolates!$AG$2:$AG$128,"Yes")</f>
        <v/>
      </c>
    </row>
    <row r="5">
      <c r="A5" s="19" t="inlineStr">
        <is>
          <t>Central African Republic</t>
        </is>
      </c>
      <c r="B5" s="19">
        <f>COUNTIFS(Isolates!$I$2:$I$128,$A5,Isolates!$O$2:$O$128,B$2,Isolates!$AG$2:$AG$128,"Yes")</f>
        <v/>
      </c>
      <c r="C5" s="19">
        <f>COUNTIFS(Isolates!$I$2:$I$128,$A5,Isolates!$O$2:$O$128,C$2,Isolates!$AG$2:$AG$128,"Yes")</f>
        <v/>
      </c>
      <c r="D5" s="19">
        <f>COUNTIFS(Isolates!$I$2:$I$128,$A5,Isolates!$O$2:$O$128,D$2,Isolates!$AG$2:$AG$128,"Yes")</f>
        <v/>
      </c>
      <c r="E5" s="19">
        <f>COUNTIFS(Isolates!$I$2:$I$128,$A5,Isolates!$O$2:$O$128,E$2,Isolates!$AG$2:$AG$128,"Yes")</f>
        <v/>
      </c>
      <c r="F5" s="19">
        <f>COUNTIFS(Isolates!$I$2:$I$128,$A5,Isolates!$O$2:$O$128,F$2,Isolates!$AG$2:$AG$128,"Yes")</f>
        <v/>
      </c>
      <c r="G5" s="19">
        <f>COUNTIFS(Isolates!$I$2:$I$128,$A5,Isolates!$O$2:$O$128,G$2,Isolates!$AG$2:$AG$128,"Yes")</f>
        <v/>
      </c>
      <c r="H5" s="19">
        <f>SUM(B5:G5)</f>
        <v/>
      </c>
      <c r="I5" s="19">
        <f>COUNTIFS(Isolates!$I$2:$I$128,$A5,Isolates!$G$2:$G$128,"SRA Illumina PE reads",Isolates!$AG$2:$AG$128,"Yes")</f>
        <v/>
      </c>
    </row>
    <row r="6">
      <c r="A6" s="19" t="inlineStr">
        <is>
          <t>Democratic Republic of the Congo</t>
        </is>
      </c>
      <c r="B6" s="19">
        <f>COUNTIFS(Isolates!$I$2:$I$128,$A6,Isolates!$O$2:$O$128,B$2,Isolates!$AG$2:$AG$128,"Yes")</f>
        <v/>
      </c>
      <c r="C6" s="19">
        <f>COUNTIFS(Isolates!$I$2:$I$128,$A6,Isolates!$O$2:$O$128,C$2,Isolates!$AG$2:$AG$128,"Yes")</f>
        <v/>
      </c>
      <c r="D6" s="19">
        <f>COUNTIFS(Isolates!$I$2:$I$128,$A6,Isolates!$O$2:$O$128,D$2,Isolates!$AG$2:$AG$128,"Yes")</f>
        <v/>
      </c>
      <c r="E6" s="19">
        <f>COUNTIFS(Isolates!$I$2:$I$128,$A6,Isolates!$O$2:$O$128,E$2,Isolates!$AG$2:$AG$128,"Yes")</f>
        <v/>
      </c>
      <c r="F6" s="19">
        <f>COUNTIFS(Isolates!$I$2:$I$128,$A6,Isolates!$O$2:$O$128,F$2,Isolates!$AG$2:$AG$128,"Yes")</f>
        <v/>
      </c>
      <c r="G6" s="19">
        <f>COUNTIFS(Isolates!$I$2:$I$128,$A6,Isolates!$O$2:$O$128,G$2,Isolates!$AG$2:$AG$128,"Yes")</f>
        <v/>
      </c>
      <c r="H6" s="19">
        <f>SUM(B6:G6)</f>
        <v/>
      </c>
      <c r="I6" s="19">
        <f>COUNTIFS(Isolates!$I$2:$I$128,$A6,Isolates!$G$2:$G$128,"SRA Illumina PE reads",Isolates!$AG$2:$AG$128,"Yes")</f>
        <v/>
      </c>
    </row>
    <row r="7">
      <c r="A7" s="19" t="inlineStr">
        <is>
          <t>Egypt</t>
        </is>
      </c>
      <c r="B7" s="19">
        <f>COUNTIFS(Isolates!$I$2:$I$128,$A7,Isolates!$O$2:$O$128,B$2,Isolates!$AG$2:$AG$128,"Yes")</f>
        <v/>
      </c>
      <c r="C7" s="19">
        <f>COUNTIFS(Isolates!$I$2:$I$128,$A7,Isolates!$O$2:$O$128,C$2,Isolates!$AG$2:$AG$128,"Yes")</f>
        <v/>
      </c>
      <c r="D7" s="19">
        <f>COUNTIFS(Isolates!$I$2:$I$128,$A7,Isolates!$O$2:$O$128,D$2,Isolates!$AG$2:$AG$128,"Yes")</f>
        <v/>
      </c>
      <c r="E7" s="19">
        <f>COUNTIFS(Isolates!$I$2:$I$128,$A7,Isolates!$O$2:$O$128,E$2,Isolates!$AG$2:$AG$128,"Yes")</f>
        <v/>
      </c>
      <c r="F7" s="19">
        <f>COUNTIFS(Isolates!$I$2:$I$128,$A7,Isolates!$O$2:$O$128,F$2,Isolates!$AG$2:$AG$128,"Yes")</f>
        <v/>
      </c>
      <c r="G7" s="19">
        <f>COUNTIFS(Isolates!$I$2:$I$128,$A7,Isolates!$O$2:$O$128,G$2,Isolates!$AG$2:$AG$128,"Yes")</f>
        <v/>
      </c>
      <c r="H7" s="19">
        <f>SUM(B7:G7)</f>
        <v/>
      </c>
      <c r="I7" s="19">
        <f>COUNTIFS(Isolates!$I$2:$I$128,$A7,Isolates!$G$2:$G$128,"SRA Illumina PE reads",Isolates!$AG$2:$AG$128,"Yes")</f>
        <v/>
      </c>
    </row>
    <row r="8">
      <c r="A8" s="19" t="inlineStr">
        <is>
          <t>Ethiopia</t>
        </is>
      </c>
      <c r="B8" s="19">
        <f>COUNTIFS(Isolates!$I$2:$I$128,$A8,Isolates!$O$2:$O$128,B$2,Isolates!$AG$2:$AG$128,"Yes")</f>
        <v/>
      </c>
      <c r="C8" s="19">
        <f>COUNTIFS(Isolates!$I$2:$I$128,$A8,Isolates!$O$2:$O$128,C$2,Isolates!$AG$2:$AG$128,"Yes")</f>
        <v/>
      </c>
      <c r="D8" s="19">
        <f>COUNTIFS(Isolates!$I$2:$I$128,$A8,Isolates!$O$2:$O$128,D$2,Isolates!$AG$2:$AG$128,"Yes")</f>
        <v/>
      </c>
      <c r="E8" s="19">
        <f>COUNTIFS(Isolates!$I$2:$I$128,$A8,Isolates!$O$2:$O$128,E$2,Isolates!$AG$2:$AG$128,"Yes")</f>
        <v/>
      </c>
      <c r="F8" s="19">
        <f>COUNTIFS(Isolates!$I$2:$I$128,$A8,Isolates!$O$2:$O$128,F$2,Isolates!$AG$2:$AG$128,"Yes")</f>
        <v/>
      </c>
      <c r="G8" s="19">
        <f>COUNTIFS(Isolates!$I$2:$I$128,$A8,Isolates!$O$2:$O$128,G$2,Isolates!$AG$2:$AG$128,"Yes")</f>
        <v/>
      </c>
      <c r="H8" s="19">
        <f>SUM(B8:G8)</f>
        <v/>
      </c>
      <c r="I8" s="19">
        <f>COUNTIFS(Isolates!$I$2:$I$128,$A8,Isolates!$G$2:$G$128,"SRA Illumina PE reads",Isolates!$AG$2:$AG$128,"Yes")</f>
        <v/>
      </c>
    </row>
    <row r="9">
      <c r="A9" s="19" t="inlineStr">
        <is>
          <t>Malawi</t>
        </is>
      </c>
      <c r="B9" s="19">
        <f>COUNTIFS(Isolates!$I$2:$I$128,$A9,Isolates!$O$2:$O$128,B$2,Isolates!$AG$2:$AG$128,"Yes")</f>
        <v/>
      </c>
      <c r="C9" s="19">
        <f>COUNTIFS(Isolates!$I$2:$I$128,$A9,Isolates!$O$2:$O$128,C$2,Isolates!$AG$2:$AG$128,"Yes")</f>
        <v/>
      </c>
      <c r="D9" s="19">
        <f>COUNTIFS(Isolates!$I$2:$I$128,$A9,Isolates!$O$2:$O$128,D$2,Isolates!$AG$2:$AG$128,"Yes")</f>
        <v/>
      </c>
      <c r="E9" s="19">
        <f>COUNTIFS(Isolates!$I$2:$I$128,$A9,Isolates!$O$2:$O$128,E$2,Isolates!$AG$2:$AG$128,"Yes")</f>
        <v/>
      </c>
      <c r="F9" s="19">
        <f>COUNTIFS(Isolates!$I$2:$I$128,$A9,Isolates!$O$2:$O$128,F$2,Isolates!$AG$2:$AG$128,"Yes")</f>
        <v/>
      </c>
      <c r="G9" s="19">
        <f>COUNTIFS(Isolates!$I$2:$I$128,$A9,Isolates!$O$2:$O$128,G$2,Isolates!$AG$2:$AG$128,"Yes")</f>
        <v/>
      </c>
      <c r="H9" s="19">
        <f>SUM(B9:G9)</f>
        <v/>
      </c>
      <c r="I9" s="19">
        <f>COUNTIFS(Isolates!$I$2:$I$128,$A9,Isolates!$G$2:$G$128,"SRA Illumina PE reads",Isolates!$AG$2:$AG$128,"Yes")</f>
        <v/>
      </c>
    </row>
    <row r="10">
      <c r="A10" s="19" t="inlineStr">
        <is>
          <t>Morocco</t>
        </is>
      </c>
      <c r="B10" s="19">
        <f>COUNTIFS(Isolates!$I$2:$I$128,$A10,Isolates!$O$2:$O$128,B$2,Isolates!$AG$2:$AG$128,"Yes")</f>
        <v/>
      </c>
      <c r="C10" s="19">
        <f>COUNTIFS(Isolates!$I$2:$I$128,$A10,Isolates!$O$2:$O$128,C$2,Isolates!$AG$2:$AG$128,"Yes")</f>
        <v/>
      </c>
      <c r="D10" s="19">
        <f>COUNTIFS(Isolates!$I$2:$I$128,$A10,Isolates!$O$2:$O$128,D$2,Isolates!$AG$2:$AG$128,"Yes")</f>
        <v/>
      </c>
      <c r="E10" s="19">
        <f>COUNTIFS(Isolates!$I$2:$I$128,$A10,Isolates!$O$2:$O$128,E$2,Isolates!$AG$2:$AG$128,"Yes")</f>
        <v/>
      </c>
      <c r="F10" s="19">
        <f>COUNTIFS(Isolates!$I$2:$I$128,$A10,Isolates!$O$2:$O$128,F$2,Isolates!$AG$2:$AG$128,"Yes")</f>
        <v/>
      </c>
      <c r="G10" s="19">
        <f>COUNTIFS(Isolates!$I$2:$I$128,$A10,Isolates!$O$2:$O$128,G$2,Isolates!$AG$2:$AG$128,"Yes")</f>
        <v/>
      </c>
      <c r="H10" s="19">
        <f>SUM(B10:G10)</f>
        <v/>
      </c>
      <c r="I10" s="19">
        <f>COUNTIFS(Isolates!$I$2:$I$128,$A10,Isolates!$G$2:$G$128,"SRA Illumina PE reads",Isolates!$AG$2:$AG$128,"Yes")</f>
        <v/>
      </c>
    </row>
    <row r="11">
      <c r="A11" s="19" t="inlineStr">
        <is>
          <t>Niger</t>
        </is>
      </c>
      <c r="B11" s="19">
        <f>COUNTIFS(Isolates!$I$2:$I$128,$A11,Isolates!$O$2:$O$128,B$2,Isolates!$AG$2:$AG$128,"Yes")</f>
        <v/>
      </c>
      <c r="C11" s="19">
        <f>COUNTIFS(Isolates!$I$2:$I$128,$A11,Isolates!$O$2:$O$128,C$2,Isolates!$AG$2:$AG$128,"Yes")</f>
        <v/>
      </c>
      <c r="D11" s="19">
        <f>COUNTIFS(Isolates!$I$2:$I$128,$A11,Isolates!$O$2:$O$128,D$2,Isolates!$AG$2:$AG$128,"Yes")</f>
        <v/>
      </c>
      <c r="E11" s="19">
        <f>COUNTIFS(Isolates!$I$2:$I$128,$A11,Isolates!$O$2:$O$128,E$2,Isolates!$AG$2:$AG$128,"Yes")</f>
        <v/>
      </c>
      <c r="F11" s="19">
        <f>COUNTIFS(Isolates!$I$2:$I$128,$A11,Isolates!$O$2:$O$128,F$2,Isolates!$AG$2:$AG$128,"Yes")</f>
        <v/>
      </c>
      <c r="G11" s="19">
        <f>COUNTIFS(Isolates!$I$2:$I$128,$A11,Isolates!$O$2:$O$128,G$2,Isolates!$AG$2:$AG$128,"Yes")</f>
        <v/>
      </c>
      <c r="H11" s="19">
        <f>SUM(B11:G11)</f>
        <v/>
      </c>
      <c r="I11" s="19">
        <f>COUNTIFS(Isolates!$I$2:$I$128,$A11,Isolates!$G$2:$G$128,"SRA Illumina PE reads",Isolates!$AG$2:$AG$128,"Yes")</f>
        <v/>
      </c>
    </row>
    <row r="12">
      <c r="A12" s="19" t="inlineStr">
        <is>
          <t>Nigeria</t>
        </is>
      </c>
      <c r="B12" s="19">
        <f>COUNTIFS(Isolates!$I$2:$I$128,$A12,Isolates!$O$2:$O$128,B$2,Isolates!$AG$2:$AG$128,"Yes")</f>
        <v/>
      </c>
      <c r="C12" s="19">
        <f>COUNTIFS(Isolates!$I$2:$I$128,$A12,Isolates!$O$2:$O$128,C$2,Isolates!$AG$2:$AG$128,"Yes")</f>
        <v/>
      </c>
      <c r="D12" s="19">
        <f>COUNTIFS(Isolates!$I$2:$I$128,$A12,Isolates!$O$2:$O$128,D$2,Isolates!$AG$2:$AG$128,"Yes")</f>
        <v/>
      </c>
      <c r="E12" s="19">
        <f>COUNTIFS(Isolates!$I$2:$I$128,$A12,Isolates!$O$2:$O$128,E$2,Isolates!$AG$2:$AG$128,"Yes")</f>
        <v/>
      </c>
      <c r="F12" s="19">
        <f>COUNTIFS(Isolates!$I$2:$I$128,$A12,Isolates!$O$2:$O$128,F$2,Isolates!$AG$2:$AG$128,"Yes")</f>
        <v/>
      </c>
      <c r="G12" s="19">
        <f>COUNTIFS(Isolates!$I$2:$I$128,$A12,Isolates!$O$2:$O$128,G$2,Isolates!$AG$2:$AG$128,"Yes")</f>
        <v/>
      </c>
      <c r="H12" s="19">
        <f>SUM(B12:G12)</f>
        <v/>
      </c>
      <c r="I12" s="19">
        <f>COUNTIFS(Isolates!$I$2:$I$128,$A12,Isolates!$G$2:$G$128,"SRA Illumina PE reads",Isolates!$AG$2:$AG$128,"Yes")</f>
        <v/>
      </c>
    </row>
    <row r="13">
      <c r="A13" s="19" t="inlineStr">
        <is>
          <t>Rwanda</t>
        </is>
      </c>
      <c r="B13" s="19">
        <f>COUNTIFS(Isolates!$I$2:$I$128,$A13,Isolates!$O$2:$O$128,B$2,Isolates!$AG$2:$AG$128,"Yes")</f>
        <v/>
      </c>
      <c r="C13" s="19">
        <f>COUNTIFS(Isolates!$I$2:$I$128,$A13,Isolates!$O$2:$O$128,C$2,Isolates!$AG$2:$AG$128,"Yes")</f>
        <v/>
      </c>
      <c r="D13" s="19">
        <f>COUNTIFS(Isolates!$I$2:$I$128,$A13,Isolates!$O$2:$O$128,D$2,Isolates!$AG$2:$AG$128,"Yes")</f>
        <v/>
      </c>
      <c r="E13" s="19">
        <f>COUNTIFS(Isolates!$I$2:$I$128,$A13,Isolates!$O$2:$O$128,E$2,Isolates!$AG$2:$AG$128,"Yes")</f>
        <v/>
      </c>
      <c r="F13" s="19">
        <f>COUNTIFS(Isolates!$I$2:$I$128,$A13,Isolates!$O$2:$O$128,F$2,Isolates!$AG$2:$AG$128,"Yes")</f>
        <v/>
      </c>
      <c r="G13" s="19">
        <f>COUNTIFS(Isolates!$I$2:$I$128,$A13,Isolates!$O$2:$O$128,G$2,Isolates!$AG$2:$AG$128,"Yes")</f>
        <v/>
      </c>
      <c r="H13" s="19">
        <f>SUM(B13:G13)</f>
        <v/>
      </c>
      <c r="I13" s="19">
        <f>COUNTIFS(Isolates!$I$2:$I$128,$A13,Isolates!$G$2:$G$128,"SRA Illumina PE reads",Isolates!$AG$2:$AG$128,"Yes")</f>
        <v/>
      </c>
    </row>
    <row r="14">
      <c r="A14" s="19" t="inlineStr">
        <is>
          <t>South Africa</t>
        </is>
      </c>
      <c r="B14" s="19">
        <f>COUNTIFS(Isolates!$I$2:$I$128,$A14,Isolates!$O$2:$O$128,B$2,Isolates!$AG$2:$AG$128,"Yes")</f>
        <v/>
      </c>
      <c r="C14" s="19">
        <f>COUNTIFS(Isolates!$I$2:$I$128,$A14,Isolates!$O$2:$O$128,C$2,Isolates!$AG$2:$AG$128,"Yes")</f>
        <v/>
      </c>
      <c r="D14" s="19">
        <f>COUNTIFS(Isolates!$I$2:$I$128,$A14,Isolates!$O$2:$O$128,D$2,Isolates!$AG$2:$AG$128,"Yes")</f>
        <v/>
      </c>
      <c r="E14" s="19">
        <f>COUNTIFS(Isolates!$I$2:$I$128,$A14,Isolates!$O$2:$O$128,E$2,Isolates!$AG$2:$AG$128,"Yes")</f>
        <v/>
      </c>
      <c r="F14" s="19">
        <f>COUNTIFS(Isolates!$I$2:$I$128,$A14,Isolates!$O$2:$O$128,F$2,Isolates!$AG$2:$AG$128,"Yes")</f>
        <v/>
      </c>
      <c r="G14" s="19">
        <f>COUNTIFS(Isolates!$I$2:$I$128,$A14,Isolates!$O$2:$O$128,G$2,Isolates!$AG$2:$AG$128,"Yes")</f>
        <v/>
      </c>
      <c r="H14" s="19">
        <f>SUM(B14:G14)</f>
        <v/>
      </c>
      <c r="I14" s="19">
        <f>COUNTIFS(Isolates!$I$2:$I$128,$A14,Isolates!$G$2:$G$128,"SRA Illumina PE reads",Isolates!$AG$2:$AG$128,"Yes")</f>
        <v/>
      </c>
    </row>
    <row r="15">
      <c r="A15" s="19" t="inlineStr">
        <is>
          <t>Tanzania</t>
        </is>
      </c>
      <c r="B15" s="19">
        <f>COUNTIFS(Isolates!$I$2:$I$128,$A15,Isolates!$O$2:$O$128,B$2,Isolates!$AG$2:$AG$128,"Yes")</f>
        <v/>
      </c>
      <c r="C15" s="19">
        <f>COUNTIFS(Isolates!$I$2:$I$128,$A15,Isolates!$O$2:$O$128,C$2,Isolates!$AG$2:$AG$128,"Yes")</f>
        <v/>
      </c>
      <c r="D15" s="19">
        <f>COUNTIFS(Isolates!$I$2:$I$128,$A15,Isolates!$O$2:$O$128,D$2,Isolates!$AG$2:$AG$128,"Yes")</f>
        <v/>
      </c>
      <c r="E15" s="19">
        <f>COUNTIFS(Isolates!$I$2:$I$128,$A15,Isolates!$O$2:$O$128,E$2,Isolates!$AG$2:$AG$128,"Yes")</f>
        <v/>
      </c>
      <c r="F15" s="19">
        <f>COUNTIFS(Isolates!$I$2:$I$128,$A15,Isolates!$O$2:$O$128,F$2,Isolates!$AG$2:$AG$128,"Yes")</f>
        <v/>
      </c>
      <c r="G15" s="19">
        <f>COUNTIFS(Isolates!$I$2:$I$128,$A15,Isolates!$O$2:$O$128,G$2,Isolates!$AG$2:$AG$128,"Yes")</f>
        <v/>
      </c>
      <c r="H15" s="19">
        <f>SUM(B15:G15)</f>
        <v/>
      </c>
      <c r="I15" s="19">
        <f>COUNTIFS(Isolates!$I$2:$I$128,$A15,Isolates!$G$2:$G$128,"SRA Illumina PE reads",Isolates!$AG$2:$AG$128,"Yes")</f>
        <v/>
      </c>
    </row>
    <row r="16">
      <c r="A16" s="19" t="inlineStr">
        <is>
          <t>Togo</t>
        </is>
      </c>
      <c r="B16" s="19">
        <f>COUNTIFS(Isolates!$I$2:$I$128,$A16,Isolates!$O$2:$O$128,B$2,Isolates!$AG$2:$AG$128,"Yes")</f>
        <v/>
      </c>
      <c r="C16" s="19">
        <f>COUNTIFS(Isolates!$I$2:$I$128,$A16,Isolates!$O$2:$O$128,C$2,Isolates!$AG$2:$AG$128,"Yes")</f>
        <v/>
      </c>
      <c r="D16" s="19">
        <f>COUNTIFS(Isolates!$I$2:$I$128,$A16,Isolates!$O$2:$O$128,D$2,Isolates!$AG$2:$AG$128,"Yes")</f>
        <v/>
      </c>
      <c r="E16" s="19">
        <f>COUNTIFS(Isolates!$I$2:$I$128,$A16,Isolates!$O$2:$O$128,E$2,Isolates!$AG$2:$AG$128,"Yes")</f>
        <v/>
      </c>
      <c r="F16" s="19">
        <f>COUNTIFS(Isolates!$I$2:$I$128,$A16,Isolates!$O$2:$O$128,F$2,Isolates!$AG$2:$AG$128,"Yes")</f>
        <v/>
      </c>
      <c r="G16" s="19">
        <f>COUNTIFS(Isolates!$I$2:$I$128,$A16,Isolates!$O$2:$O$128,G$2,Isolates!$AG$2:$AG$128,"Yes")</f>
        <v/>
      </c>
      <c r="H16" s="19">
        <f>SUM(B16:G16)</f>
        <v/>
      </c>
      <c r="I16" s="19">
        <f>COUNTIFS(Isolates!$I$2:$I$128,$A16,Isolates!$G$2:$G$128,"SRA Illumina PE reads",Isolates!$AG$2:$AG$128,"Yes")</f>
        <v/>
      </c>
    </row>
    <row r="17">
      <c r="A17" s="19" t="inlineStr">
        <is>
          <t>Tunisia</t>
        </is>
      </c>
      <c r="B17" s="19">
        <f>COUNTIFS(Isolates!$I$2:$I$128,$A17,Isolates!$O$2:$O$128,B$2,Isolates!$AG$2:$AG$128,"Yes")</f>
        <v/>
      </c>
      <c r="C17" s="19">
        <f>COUNTIFS(Isolates!$I$2:$I$128,$A17,Isolates!$O$2:$O$128,C$2,Isolates!$AG$2:$AG$128,"Yes")</f>
        <v/>
      </c>
      <c r="D17" s="19">
        <f>COUNTIFS(Isolates!$I$2:$I$128,$A17,Isolates!$O$2:$O$128,D$2,Isolates!$AG$2:$AG$128,"Yes")</f>
        <v/>
      </c>
      <c r="E17" s="19">
        <f>COUNTIFS(Isolates!$I$2:$I$128,$A17,Isolates!$O$2:$O$128,E$2,Isolates!$AG$2:$AG$128,"Yes")</f>
        <v/>
      </c>
      <c r="F17" s="19">
        <f>COUNTIFS(Isolates!$I$2:$I$128,$A17,Isolates!$O$2:$O$128,F$2,Isolates!$AG$2:$AG$128,"Yes")</f>
        <v/>
      </c>
      <c r="G17" s="19">
        <f>COUNTIFS(Isolates!$I$2:$I$128,$A17,Isolates!$O$2:$O$128,G$2,Isolates!$AG$2:$AG$128,"Yes")</f>
        <v/>
      </c>
      <c r="H17" s="19">
        <f>SUM(B17:G17)</f>
        <v/>
      </c>
      <c r="I17" s="19">
        <f>COUNTIFS(Isolates!$I$2:$I$128,$A17,Isolates!$G$2:$G$128,"SRA Illumina PE reads",Isolates!$AG$2:$AG$128,"Yes")</f>
        <v/>
      </c>
    </row>
    <row r="18">
      <c r="A18" s="19" t="inlineStr">
        <is>
          <t>Uganda</t>
        </is>
      </c>
      <c r="B18" s="19">
        <f>COUNTIFS(Isolates!$I$2:$I$128,$A18,Isolates!$O$2:$O$128,B$2,Isolates!$AG$2:$AG$128,"Yes")</f>
        <v/>
      </c>
      <c r="C18" s="19">
        <f>COUNTIFS(Isolates!$I$2:$I$128,$A18,Isolates!$O$2:$O$128,C$2,Isolates!$AG$2:$AG$128,"Yes")</f>
        <v/>
      </c>
      <c r="D18" s="19">
        <f>COUNTIFS(Isolates!$I$2:$I$128,$A18,Isolates!$O$2:$O$128,D$2,Isolates!$AG$2:$AG$128,"Yes")</f>
        <v/>
      </c>
      <c r="E18" s="19">
        <f>COUNTIFS(Isolates!$I$2:$I$128,$A18,Isolates!$O$2:$O$128,E$2,Isolates!$AG$2:$AG$128,"Yes")</f>
        <v/>
      </c>
      <c r="F18" s="19">
        <f>COUNTIFS(Isolates!$I$2:$I$128,$A18,Isolates!$O$2:$O$128,F$2,Isolates!$AG$2:$AG$128,"Yes")</f>
        <v/>
      </c>
      <c r="G18" s="19">
        <f>COUNTIFS(Isolates!$I$2:$I$128,$A18,Isolates!$O$2:$O$128,G$2,Isolates!$AG$2:$AG$128,"Yes")</f>
        <v/>
      </c>
      <c r="H18" s="19">
        <f>SUM(B18:G18)</f>
        <v/>
      </c>
      <c r="I18" s="19">
        <f>COUNTIFS(Isolates!$I$2:$I$128,$A18,Isolates!$G$2:$G$128,"SRA Illumina PE reads",Isolates!$AG$2:$AG$128,"Yes")</f>
        <v/>
      </c>
    </row>
    <row r="19">
      <c r="A19" s="37" t="inlineStr">
        <is>
          <t>Total</t>
        </is>
      </c>
      <c r="B19" s="19">
        <f>SUM(B3:B18)</f>
        <v/>
      </c>
      <c r="C19" s="19">
        <f>SUM(C3:C18)</f>
        <v/>
      </c>
      <c r="D19" s="19">
        <f>SUM(D3:D18)</f>
        <v/>
      </c>
      <c r="E19" s="19">
        <f>SUM(E3:E18)</f>
        <v/>
      </c>
      <c r="F19" s="19">
        <f>SUM(F3:F18)</f>
        <v/>
      </c>
      <c r="G19" s="19">
        <f>SUM(G3:G18)</f>
        <v/>
      </c>
      <c r="H19" s="19">
        <f>SUM(H3:H18)</f>
        <v/>
      </c>
      <c r="I19" s="19">
        <f>SUM(I3:I18)</f>
        <v/>
      </c>
    </row>
    <row r="20"/>
    <row r="21">
      <c r="A21" s="37" t="inlineStr">
        <is>
          <t>Analysed genomes by mcr variant and sector (a genome with two variants is counted under each)</t>
        </is>
      </c>
    </row>
    <row r="22">
      <c r="A22" s="37" t="inlineStr">
        <is>
          <t>mcr variant</t>
        </is>
      </c>
      <c r="B22" s="37" t="inlineStr">
        <is>
          <t>Poultry</t>
        </is>
      </c>
      <c r="C22" s="37" t="inlineStr">
        <is>
          <t>Human</t>
        </is>
      </c>
      <c r="D22" s="37" t="inlineStr">
        <is>
          <t>Other animal</t>
        </is>
      </c>
      <c r="E22" s="37" t="inlineStr">
        <is>
          <t>Food (non-poultry)</t>
        </is>
      </c>
      <c r="F22" s="37" t="inlineStr">
        <is>
          <t>Environment</t>
        </is>
      </c>
      <c r="G22" s="37" t="inlineStr">
        <is>
          <t>Unspecified</t>
        </is>
      </c>
      <c r="H22" s="37" t="inlineStr">
        <is>
          <t>Total</t>
        </is>
      </c>
    </row>
    <row r="23">
      <c r="A23" s="19" t="inlineStr">
        <is>
          <t>mcr-1</t>
        </is>
      </c>
      <c r="B23" s="19">
        <f>COUNTIFS(Isolates!$AC$2:$AC$128,"*|"&amp;$A23&amp;"|*",Isolates!$O$2:$O$128,B$22,Isolates!$AG$2:$AG$128,"Yes")</f>
        <v/>
      </c>
      <c r="C23" s="19">
        <f>COUNTIFS(Isolates!$AC$2:$AC$128,"*|"&amp;$A23&amp;"|*",Isolates!$O$2:$O$128,C$22,Isolates!$AG$2:$AG$128,"Yes")</f>
        <v/>
      </c>
      <c r="D23" s="19">
        <f>COUNTIFS(Isolates!$AC$2:$AC$128,"*|"&amp;$A23&amp;"|*",Isolates!$O$2:$O$128,D$22,Isolates!$AG$2:$AG$128,"Yes")</f>
        <v/>
      </c>
      <c r="E23" s="19">
        <f>COUNTIFS(Isolates!$AC$2:$AC$128,"*|"&amp;$A23&amp;"|*",Isolates!$O$2:$O$128,E$22,Isolates!$AG$2:$AG$128,"Yes")</f>
        <v/>
      </c>
      <c r="F23" s="19">
        <f>COUNTIFS(Isolates!$AC$2:$AC$128,"*|"&amp;$A23&amp;"|*",Isolates!$O$2:$O$128,F$22,Isolates!$AG$2:$AG$128,"Yes")</f>
        <v/>
      </c>
      <c r="G23" s="19">
        <f>COUNTIFS(Isolates!$AC$2:$AC$128,"*|"&amp;$A23&amp;"|*",Isolates!$O$2:$O$128,G$22,Isolates!$AG$2:$AG$128,"Yes")</f>
        <v/>
      </c>
      <c r="H23" s="19">
        <f>SUM(B23:G23)</f>
        <v/>
      </c>
    </row>
    <row r="24">
      <c r="A24" s="19" t="inlineStr">
        <is>
          <t>mcr-1.1</t>
        </is>
      </c>
      <c r="B24" s="19">
        <f>COUNTIFS(Isolates!$AC$2:$AC$128,"*|"&amp;$A24&amp;"|*",Isolates!$O$2:$O$128,B$22,Isolates!$AG$2:$AG$128,"Yes")</f>
        <v/>
      </c>
      <c r="C24" s="19">
        <f>COUNTIFS(Isolates!$AC$2:$AC$128,"*|"&amp;$A24&amp;"|*",Isolates!$O$2:$O$128,C$22,Isolates!$AG$2:$AG$128,"Yes")</f>
        <v/>
      </c>
      <c r="D24" s="19">
        <f>COUNTIFS(Isolates!$AC$2:$AC$128,"*|"&amp;$A24&amp;"|*",Isolates!$O$2:$O$128,D$22,Isolates!$AG$2:$AG$128,"Yes")</f>
        <v/>
      </c>
      <c r="E24" s="19">
        <f>COUNTIFS(Isolates!$AC$2:$AC$128,"*|"&amp;$A24&amp;"|*",Isolates!$O$2:$O$128,E$22,Isolates!$AG$2:$AG$128,"Yes")</f>
        <v/>
      </c>
      <c r="F24" s="19">
        <f>COUNTIFS(Isolates!$AC$2:$AC$128,"*|"&amp;$A24&amp;"|*",Isolates!$O$2:$O$128,F$22,Isolates!$AG$2:$AG$128,"Yes")</f>
        <v/>
      </c>
      <c r="G24" s="19">
        <f>COUNTIFS(Isolates!$AC$2:$AC$128,"*|"&amp;$A24&amp;"|*",Isolates!$O$2:$O$128,G$22,Isolates!$AG$2:$AG$128,"Yes")</f>
        <v/>
      </c>
      <c r="H24" s="19">
        <f>SUM(B24:G24)</f>
        <v/>
      </c>
    </row>
    <row r="25">
      <c r="A25" s="19" t="inlineStr">
        <is>
          <t>mcr-1.5</t>
        </is>
      </c>
      <c r="B25" s="19">
        <f>COUNTIFS(Isolates!$AC$2:$AC$128,"*|"&amp;$A25&amp;"|*",Isolates!$O$2:$O$128,B$22,Isolates!$AG$2:$AG$128,"Yes")</f>
        <v/>
      </c>
      <c r="C25" s="19">
        <f>COUNTIFS(Isolates!$AC$2:$AC$128,"*|"&amp;$A25&amp;"|*",Isolates!$O$2:$O$128,C$22,Isolates!$AG$2:$AG$128,"Yes")</f>
        <v/>
      </c>
      <c r="D25" s="19">
        <f>COUNTIFS(Isolates!$AC$2:$AC$128,"*|"&amp;$A25&amp;"|*",Isolates!$O$2:$O$128,D$22,Isolates!$AG$2:$AG$128,"Yes")</f>
        <v/>
      </c>
      <c r="E25" s="19">
        <f>COUNTIFS(Isolates!$AC$2:$AC$128,"*|"&amp;$A25&amp;"|*",Isolates!$O$2:$O$128,E$22,Isolates!$AG$2:$AG$128,"Yes")</f>
        <v/>
      </c>
      <c r="F25" s="19">
        <f>COUNTIFS(Isolates!$AC$2:$AC$128,"*|"&amp;$A25&amp;"|*",Isolates!$O$2:$O$128,F$22,Isolates!$AG$2:$AG$128,"Yes")</f>
        <v/>
      </c>
      <c r="G25" s="19">
        <f>COUNTIFS(Isolates!$AC$2:$AC$128,"*|"&amp;$A25&amp;"|*",Isolates!$O$2:$O$128,G$22,Isolates!$AG$2:$AG$128,"Yes")</f>
        <v/>
      </c>
      <c r="H25" s="19">
        <f>SUM(B25:G25)</f>
        <v/>
      </c>
    </row>
    <row r="26">
      <c r="A26" s="19" t="inlineStr">
        <is>
          <t>mcr-9</t>
        </is>
      </c>
      <c r="B26" s="19">
        <f>COUNTIFS(Isolates!$AC$2:$AC$128,"*|"&amp;$A26&amp;"|*",Isolates!$O$2:$O$128,B$22,Isolates!$AG$2:$AG$128,"Yes")</f>
        <v/>
      </c>
      <c r="C26" s="19">
        <f>COUNTIFS(Isolates!$AC$2:$AC$128,"*|"&amp;$A26&amp;"|*",Isolates!$O$2:$O$128,C$22,Isolates!$AG$2:$AG$128,"Yes")</f>
        <v/>
      </c>
      <c r="D26" s="19">
        <f>COUNTIFS(Isolates!$AC$2:$AC$128,"*|"&amp;$A26&amp;"|*",Isolates!$O$2:$O$128,D$22,Isolates!$AG$2:$AG$128,"Yes")</f>
        <v/>
      </c>
      <c r="E26" s="19">
        <f>COUNTIFS(Isolates!$AC$2:$AC$128,"*|"&amp;$A26&amp;"|*",Isolates!$O$2:$O$128,E$22,Isolates!$AG$2:$AG$128,"Yes")</f>
        <v/>
      </c>
      <c r="F26" s="19">
        <f>COUNTIFS(Isolates!$AC$2:$AC$128,"*|"&amp;$A26&amp;"|*",Isolates!$O$2:$O$128,F$22,Isolates!$AG$2:$AG$128,"Yes")</f>
        <v/>
      </c>
      <c r="G26" s="19">
        <f>COUNTIFS(Isolates!$AC$2:$AC$128,"*|"&amp;$A26&amp;"|*",Isolates!$O$2:$O$128,G$22,Isolates!$AG$2:$AG$128,"Yes")</f>
        <v/>
      </c>
      <c r="H26" s="19">
        <f>SUM(B26:G26)</f>
        <v/>
      </c>
    </row>
    <row r="27">
      <c r="A27" s="19" t="inlineStr">
        <is>
          <t>mcr-9.1</t>
        </is>
      </c>
      <c r="B27" s="19">
        <f>COUNTIFS(Isolates!$AC$2:$AC$128,"*|"&amp;$A27&amp;"|*",Isolates!$O$2:$O$128,B$22,Isolates!$AG$2:$AG$128,"Yes")</f>
        <v/>
      </c>
      <c r="C27" s="19">
        <f>COUNTIFS(Isolates!$AC$2:$AC$128,"*|"&amp;$A27&amp;"|*",Isolates!$O$2:$O$128,C$22,Isolates!$AG$2:$AG$128,"Yes")</f>
        <v/>
      </c>
      <c r="D27" s="19">
        <f>COUNTIFS(Isolates!$AC$2:$AC$128,"*|"&amp;$A27&amp;"|*",Isolates!$O$2:$O$128,D$22,Isolates!$AG$2:$AG$128,"Yes")</f>
        <v/>
      </c>
      <c r="E27" s="19">
        <f>COUNTIFS(Isolates!$AC$2:$AC$128,"*|"&amp;$A27&amp;"|*",Isolates!$O$2:$O$128,E$22,Isolates!$AG$2:$AG$128,"Yes")</f>
        <v/>
      </c>
      <c r="F27" s="19">
        <f>COUNTIFS(Isolates!$AC$2:$AC$128,"*|"&amp;$A27&amp;"|*",Isolates!$O$2:$O$128,F$22,Isolates!$AG$2:$AG$128,"Yes")</f>
        <v/>
      </c>
      <c r="G27" s="19">
        <f>COUNTIFS(Isolates!$AC$2:$AC$128,"*|"&amp;$A27&amp;"|*",Isolates!$O$2:$O$128,G$22,Isolates!$AG$2:$AG$128,"Yes")</f>
        <v/>
      </c>
      <c r="H27" s="19">
        <f>SUM(B27:G27)</f>
        <v/>
      </c>
    </row>
    <row r="28">
      <c r="A28" s="19" t="inlineStr">
        <is>
          <t>mcr-9.2</t>
        </is>
      </c>
      <c r="B28" s="19">
        <f>COUNTIFS(Isolates!$AC$2:$AC$128,"*|"&amp;$A28&amp;"|*",Isolates!$O$2:$O$128,B$22,Isolates!$AG$2:$AG$128,"Yes")</f>
        <v/>
      </c>
      <c r="C28" s="19">
        <f>COUNTIFS(Isolates!$AC$2:$AC$128,"*|"&amp;$A28&amp;"|*",Isolates!$O$2:$O$128,C$22,Isolates!$AG$2:$AG$128,"Yes")</f>
        <v/>
      </c>
      <c r="D28" s="19">
        <f>COUNTIFS(Isolates!$AC$2:$AC$128,"*|"&amp;$A28&amp;"|*",Isolates!$O$2:$O$128,D$22,Isolates!$AG$2:$AG$128,"Yes")</f>
        <v/>
      </c>
      <c r="E28" s="19">
        <f>COUNTIFS(Isolates!$AC$2:$AC$128,"*|"&amp;$A28&amp;"|*",Isolates!$O$2:$O$128,E$22,Isolates!$AG$2:$AG$128,"Yes")</f>
        <v/>
      </c>
      <c r="F28" s="19">
        <f>COUNTIFS(Isolates!$AC$2:$AC$128,"*|"&amp;$A28&amp;"|*",Isolates!$O$2:$O$128,F$22,Isolates!$AG$2:$AG$128,"Yes")</f>
        <v/>
      </c>
      <c r="G28" s="19">
        <f>COUNTIFS(Isolates!$AC$2:$AC$128,"*|"&amp;$A28&amp;"|*",Isolates!$O$2:$O$128,G$22,Isolates!$AG$2:$AG$128,"Yes")</f>
        <v/>
      </c>
      <c r="H28" s="19">
        <f>SUM(B28:G28)</f>
        <v/>
      </c>
    </row>
    <row r="29">
      <c r="A29" s="19" t="inlineStr">
        <is>
          <t>mcr-10.1</t>
        </is>
      </c>
      <c r="B29" s="19">
        <f>COUNTIFS(Isolates!$AC$2:$AC$128,"*|"&amp;$A29&amp;"|*",Isolates!$O$2:$O$128,B$22,Isolates!$AG$2:$AG$128,"Yes")</f>
        <v/>
      </c>
      <c r="C29" s="19">
        <f>COUNTIFS(Isolates!$AC$2:$AC$128,"*|"&amp;$A29&amp;"|*",Isolates!$O$2:$O$128,C$22,Isolates!$AG$2:$AG$128,"Yes")</f>
        <v/>
      </c>
      <c r="D29" s="19">
        <f>COUNTIFS(Isolates!$AC$2:$AC$128,"*|"&amp;$A29&amp;"|*",Isolates!$O$2:$O$128,D$22,Isolates!$AG$2:$AG$128,"Yes")</f>
        <v/>
      </c>
      <c r="E29" s="19">
        <f>COUNTIFS(Isolates!$AC$2:$AC$128,"*|"&amp;$A29&amp;"|*",Isolates!$O$2:$O$128,E$22,Isolates!$AG$2:$AG$128,"Yes")</f>
        <v/>
      </c>
      <c r="F29" s="19">
        <f>COUNTIFS(Isolates!$AC$2:$AC$128,"*|"&amp;$A29&amp;"|*",Isolates!$O$2:$O$128,F$22,Isolates!$AG$2:$AG$128,"Yes")</f>
        <v/>
      </c>
      <c r="G29" s="19">
        <f>COUNTIFS(Isolates!$AC$2:$AC$128,"*|"&amp;$A29&amp;"|*",Isolates!$O$2:$O$128,G$22,Isolates!$AG$2:$AG$128,"Yes")</f>
        <v/>
      </c>
      <c r="H29" s="19">
        <f>SUM(B29:G29)</f>
        <v/>
      </c>
    </row>
    <row r="30">
      <c r="A30" s="19" t="inlineStr">
        <is>
          <t>Note: "mcr-1" and "mcr-9" without an allele number are AMRFinderPlus calls where the allele could not be resolved (partial or divergent hit).</t>
        </is>
      </c>
    </row>
    <row r="31">
      <c r="A31" s="37" t="inlineStr">
        <is>
          <t>Retrieval and quality control</t>
        </is>
      </c>
    </row>
    <row r="32">
      <c r="A32" s="37" t="inlineStr">
        <is>
          <t>Genomes retrieved for build PDG000000004.6345</t>
        </is>
      </c>
      <c r="B32" t="n">
        <v>127</v>
      </c>
    </row>
    <row r="33">
      <c r="A33" s="37" t="inlineStr">
        <is>
          <t>Excluded: CheckM2 contamination above the 5% ceiling</t>
        </is>
      </c>
      <c r="B33" s="37" t="n">
        <v>1</v>
      </c>
      <c r="C33" s="37" t="inlineStr">
        <is>
          <t>Poultry farm environment</t>
        </is>
      </c>
      <c r="D33" s="37" t="inlineStr">
        <is>
          <t>Poultry drinking water</t>
        </is>
      </c>
      <c r="E33" s="37" t="inlineStr">
        <is>
          <t>Poultry meat/carcass</t>
        </is>
      </c>
      <c r="F33" s="37" t="inlineStr">
        <is>
          <t>Total</t>
        </is>
      </c>
    </row>
    <row r="34">
      <c r="A34" s="19" t="inlineStr">
        <is>
          <t>Genomes analysed</t>
        </is>
      </c>
      <c r="B34" s="19" t="n">
        <v>126</v>
      </c>
      <c r="C34" s="19">
        <f>COUNTIFS(Isolates!$I$2:$I$128,$A34,Isolates!$P$2:$P$128,C$33,Isolates!$AG$2:$AG$128,"Yes")</f>
        <v/>
      </c>
      <c r="D34" s="19">
        <f>COUNTIFS(Isolates!$I$2:$I$128,$A34,Isolates!$P$2:$P$128,D$33,Isolates!$AG$2:$AG$128,"Yes")</f>
        <v/>
      </c>
      <c r="E34" s="19">
        <f>COUNTIFS(Isolates!$I$2:$I$128,$A34,Isolates!$P$2:$P$128,E$33,Isolates!$AG$2:$AG$128,"Yes")</f>
        <v/>
      </c>
      <c r="F34" s="19">
        <f>SUM(B34:E34)</f>
        <v/>
      </c>
    </row>
    <row r="35">
      <c r="A35" s="19" t="inlineStr">
        <is>
          <t>Excluded accession</t>
        </is>
      </c>
      <c r="B35" s="19" t="inlineStr">
        <is>
          <t>GCA_015208565.1 (SAMN14219481), 6.00% contamination</t>
        </is>
      </c>
      <c r="C35" s="19">
        <f>COUNTIFS(Isolates!$I$2:$I$128,$A35,Isolates!$P$2:$P$128,C$33,Isolates!$AG$2:$AG$128,"Yes")</f>
        <v/>
      </c>
      <c r="D35" s="19">
        <f>COUNTIFS(Isolates!$I$2:$I$128,$A35,Isolates!$P$2:$P$128,D$33,Isolates!$AG$2:$AG$128,"Yes")</f>
        <v/>
      </c>
      <c r="E35" s="19">
        <f>COUNTIFS(Isolates!$I$2:$I$128,$A35,Isolates!$P$2:$P$128,E$33,Isolates!$AG$2:$AG$128,"Yes")</f>
        <v/>
      </c>
      <c r="F35" s="19">
        <f>SUM(B35:E35)</f>
        <v/>
      </c>
    </row>
    <row r="36">
      <c r="A36" s="19" t="inlineStr">
        <is>
          <t>Egypt</t>
        </is>
      </c>
      <c r="B36" s="19">
        <f>COUNTIFS(Isolates!$I$2:$I$128,$A36,Isolates!$P$2:$P$128,B$33,Isolates!$AG$2:$AG$128,"Yes")</f>
        <v/>
      </c>
      <c r="C36" s="19">
        <f>COUNTIFS(Isolates!$I$2:$I$128,$A36,Isolates!$P$2:$P$128,C$33,Isolates!$AG$2:$AG$128,"Yes")</f>
        <v/>
      </c>
      <c r="D36" s="19">
        <f>COUNTIFS(Isolates!$I$2:$I$128,$A36,Isolates!$P$2:$P$128,D$33,Isolates!$AG$2:$AG$128,"Yes")</f>
        <v/>
      </c>
      <c r="E36" s="19">
        <f>COUNTIFS(Isolates!$I$2:$I$128,$A36,Isolates!$P$2:$P$128,E$33,Isolates!$AG$2:$AG$128,"Yes")</f>
        <v/>
      </c>
      <c r="F36" s="19">
        <f>SUM(B36:E36)</f>
        <v/>
      </c>
    </row>
    <row r="37">
      <c r="A37" s="19" t="inlineStr">
        <is>
          <t>Morocco</t>
        </is>
      </c>
      <c r="B37" s="19">
        <f>COUNTIFS(Isolates!$I$2:$I$128,$A37,Isolates!$P$2:$P$128,B$33,Isolates!$AG$2:$AG$128,"Yes")</f>
        <v/>
      </c>
      <c r="C37" s="19">
        <f>COUNTIFS(Isolates!$I$2:$I$128,$A37,Isolates!$P$2:$P$128,C$33,Isolates!$AG$2:$AG$128,"Yes")</f>
        <v/>
      </c>
      <c r="D37" s="19">
        <f>COUNTIFS(Isolates!$I$2:$I$128,$A37,Isolates!$P$2:$P$128,D$33,Isolates!$AG$2:$AG$128,"Yes")</f>
        <v/>
      </c>
      <c r="E37" s="19">
        <f>COUNTIFS(Isolates!$I$2:$I$128,$A37,Isolates!$P$2:$P$128,E$33,Isolates!$AG$2:$AG$128,"Yes")</f>
        <v/>
      </c>
      <c r="F37" s="19">
        <f>SUM(B37:E37)</f>
        <v/>
      </c>
    </row>
    <row r="38">
      <c r="A38" s="19" t="inlineStr">
        <is>
          <t>Nigeria</t>
        </is>
      </c>
      <c r="B38" s="19">
        <f>COUNTIFS(Isolates!$I$2:$I$128,$A38,Isolates!$P$2:$P$128,B$33,Isolates!$AG$2:$AG$128,"Yes")</f>
        <v/>
      </c>
      <c r="C38" s="19">
        <f>COUNTIFS(Isolates!$I$2:$I$128,$A38,Isolates!$P$2:$P$128,C$33,Isolates!$AG$2:$AG$128,"Yes")</f>
        <v/>
      </c>
      <c r="D38" s="19">
        <f>COUNTIFS(Isolates!$I$2:$I$128,$A38,Isolates!$P$2:$P$128,D$33,Isolates!$AG$2:$AG$128,"Yes")</f>
        <v/>
      </c>
      <c r="E38" s="19">
        <f>COUNTIFS(Isolates!$I$2:$I$128,$A38,Isolates!$P$2:$P$128,E$33,Isolates!$AG$2:$AG$128,"Yes")</f>
        <v/>
      </c>
      <c r="F38" s="19">
        <f>SUM(B38:E38)</f>
        <v/>
      </c>
    </row>
    <row r="39">
      <c r="A39" s="19" t="inlineStr">
        <is>
          <t>Tanzania</t>
        </is>
      </c>
      <c r="B39" s="19">
        <f>COUNTIFS(Isolates!$I$2:$I$128,$A39,Isolates!$P$2:$P$128,B$33,Isolates!$AG$2:$AG$128,"Yes")</f>
        <v/>
      </c>
      <c r="C39" s="19">
        <f>COUNTIFS(Isolates!$I$2:$I$128,$A39,Isolates!$P$2:$P$128,C$33,Isolates!$AG$2:$AG$128,"Yes")</f>
        <v/>
      </c>
      <c r="D39" s="19">
        <f>COUNTIFS(Isolates!$I$2:$I$128,$A39,Isolates!$P$2:$P$128,D$33,Isolates!$AG$2:$AG$128,"Yes")</f>
        <v/>
      </c>
      <c r="E39" s="19">
        <f>COUNTIFS(Isolates!$I$2:$I$128,$A39,Isolates!$P$2:$P$128,E$33,Isolates!$AG$2:$AG$128,"Yes")</f>
        <v/>
      </c>
      <c r="F39" s="19">
        <f>SUM(B39:E39)</f>
        <v/>
      </c>
    </row>
    <row r="40">
      <c r="A40" s="19" t="inlineStr">
        <is>
          <t>Uganda</t>
        </is>
      </c>
      <c r="B40" s="19">
        <f>COUNTIFS(Isolates!$I$2:$I$128,$A40,Isolates!$P$2:$P$128,B$33,Isolates!$AG$2:$AG$128,"Yes")</f>
        <v/>
      </c>
      <c r="C40" s="19">
        <f>COUNTIFS(Isolates!$I$2:$I$128,$A40,Isolates!$P$2:$P$128,C$33,Isolates!$AG$2:$AG$128,"Yes")</f>
        <v/>
      </c>
      <c r="D40" s="19">
        <f>COUNTIFS(Isolates!$I$2:$I$128,$A40,Isolates!$P$2:$P$128,D$33,Isolates!$AG$2:$AG$128,"Yes")</f>
        <v/>
      </c>
      <c r="E40" s="19">
        <f>COUNTIFS(Isolates!$I$2:$I$128,$A40,Isolates!$P$2:$P$128,E$33,Isolates!$AG$2:$AG$128,"Yes")</f>
        <v/>
      </c>
      <c r="F40" s="19">
        <f>SUM(B40:E40)</f>
        <v/>
      </c>
    </row>
    <row r="41"/>
    <row r="42">
      <c r="A42" s="37" t="inlineStr">
        <is>
          <t>Genomes by sequence type (Achtman) and sector, STs seen in two or more genomes</t>
        </is>
      </c>
    </row>
    <row r="43">
      <c r="A43" s="37" t="inlineStr">
        <is>
          <t>ST</t>
        </is>
      </c>
      <c r="B43" s="37" t="inlineStr">
        <is>
          <t>Poultry</t>
        </is>
      </c>
      <c r="C43" s="37" t="inlineStr">
        <is>
          <t>Human</t>
        </is>
      </c>
      <c r="D43" s="37" t="inlineStr">
        <is>
          <t>Other animal</t>
        </is>
      </c>
      <c r="E43" s="37" t="inlineStr">
        <is>
          <t>Food (non-poultry)</t>
        </is>
      </c>
      <c r="F43" s="37" t="inlineStr">
        <is>
          <t>Environment</t>
        </is>
      </c>
      <c r="G43" s="37" t="inlineStr">
        <is>
          <t>Unspecified</t>
        </is>
      </c>
      <c r="H43" s="37" t="inlineStr">
        <is>
          <t>Total</t>
        </is>
      </c>
    </row>
    <row r="44">
      <c r="A44" s="19" t="n">
        <v>46</v>
      </c>
      <c r="B44" s="19">
        <f>COUNTIFS(Isolates!$Z$2:$Z$128,$A44,Isolates!$O$2:$O$128,B$43,Isolates!$AG$2:$AG$128,"Yes")</f>
        <v/>
      </c>
      <c r="C44" s="19">
        <f>COUNTIFS(Isolates!$Z$2:$Z$128,$A44,Isolates!$O$2:$O$128,C$43,Isolates!$AG$2:$AG$128,"Yes")</f>
        <v/>
      </c>
      <c r="D44" s="19">
        <f>COUNTIFS(Isolates!$Z$2:$Z$128,$A44,Isolates!$O$2:$O$128,D$43,Isolates!$AG$2:$AG$128,"Yes")</f>
        <v/>
      </c>
      <c r="E44" s="19">
        <f>COUNTIFS(Isolates!$Z$2:$Z$128,$A44,Isolates!$O$2:$O$128,E$43,Isolates!$AG$2:$AG$128,"Yes")</f>
        <v/>
      </c>
      <c r="F44" s="19">
        <f>COUNTIFS(Isolates!$Z$2:$Z$128,$A44,Isolates!$O$2:$O$128,F$43,Isolates!$AG$2:$AG$128,"Yes")</f>
        <v/>
      </c>
      <c r="G44" s="19">
        <f>COUNTIFS(Isolates!$Z$2:$Z$128,$A44,Isolates!$O$2:$O$128,G$43,Isolates!$AG$2:$AG$128,"Yes")</f>
        <v/>
      </c>
      <c r="H44" s="19">
        <f>SUM(B44:G44)</f>
        <v/>
      </c>
    </row>
    <row r="45">
      <c r="A45" s="19" t="n">
        <v>155</v>
      </c>
      <c r="B45" s="19">
        <f>COUNTIFS(Isolates!$Z$2:$Z$128,$A45,Isolates!$O$2:$O$128,B$43,Isolates!$AG$2:$AG$128,"Yes")</f>
        <v/>
      </c>
      <c r="C45" s="19">
        <f>COUNTIFS(Isolates!$Z$2:$Z$128,$A45,Isolates!$O$2:$O$128,C$43,Isolates!$AG$2:$AG$128,"Yes")</f>
        <v/>
      </c>
      <c r="D45" s="19">
        <f>COUNTIFS(Isolates!$Z$2:$Z$128,$A45,Isolates!$O$2:$O$128,D$43,Isolates!$AG$2:$AG$128,"Yes")</f>
        <v/>
      </c>
      <c r="E45" s="19">
        <f>COUNTIFS(Isolates!$Z$2:$Z$128,$A45,Isolates!$O$2:$O$128,E$43,Isolates!$AG$2:$AG$128,"Yes")</f>
        <v/>
      </c>
      <c r="F45" s="19">
        <f>COUNTIFS(Isolates!$Z$2:$Z$128,$A45,Isolates!$O$2:$O$128,F$43,Isolates!$AG$2:$AG$128,"Yes")</f>
        <v/>
      </c>
      <c r="G45" s="19">
        <f>COUNTIFS(Isolates!$Z$2:$Z$128,$A45,Isolates!$O$2:$O$128,G$43,Isolates!$AG$2:$AG$128,"Yes")</f>
        <v/>
      </c>
      <c r="H45" s="19">
        <f>SUM(B45:G45)</f>
        <v/>
      </c>
    </row>
    <row r="46">
      <c r="A46" s="19" t="n">
        <v>162</v>
      </c>
      <c r="B46" s="19">
        <f>COUNTIFS(Isolates!$Z$2:$Z$128,$A46,Isolates!$O$2:$O$128,B$43,Isolates!$AG$2:$AG$128,"Yes")</f>
        <v/>
      </c>
      <c r="C46" s="19">
        <f>COUNTIFS(Isolates!$Z$2:$Z$128,$A46,Isolates!$O$2:$O$128,C$43,Isolates!$AG$2:$AG$128,"Yes")</f>
        <v/>
      </c>
      <c r="D46" s="19">
        <f>COUNTIFS(Isolates!$Z$2:$Z$128,$A46,Isolates!$O$2:$O$128,D$43,Isolates!$AG$2:$AG$128,"Yes")</f>
        <v/>
      </c>
      <c r="E46" s="19">
        <f>COUNTIFS(Isolates!$Z$2:$Z$128,$A46,Isolates!$O$2:$O$128,E$43,Isolates!$AG$2:$AG$128,"Yes")</f>
        <v/>
      </c>
      <c r="F46" s="19">
        <f>COUNTIFS(Isolates!$Z$2:$Z$128,$A46,Isolates!$O$2:$O$128,F$43,Isolates!$AG$2:$AG$128,"Yes")</f>
        <v/>
      </c>
      <c r="G46" s="19">
        <f>COUNTIFS(Isolates!$Z$2:$Z$128,$A46,Isolates!$O$2:$O$128,G$43,Isolates!$AG$2:$AG$128,"Yes")</f>
        <v/>
      </c>
      <c r="H46" s="19">
        <f>SUM(B46:G46)</f>
        <v/>
      </c>
    </row>
    <row r="47">
      <c r="A47" s="19" t="n">
        <v>10</v>
      </c>
      <c r="B47" s="19">
        <f>COUNTIFS(Isolates!$Z$2:$Z$128,$A47,Isolates!$O$2:$O$128,B$43,Isolates!$AG$2:$AG$128,"Yes")</f>
        <v/>
      </c>
      <c r="C47" s="19">
        <f>COUNTIFS(Isolates!$Z$2:$Z$128,$A47,Isolates!$O$2:$O$128,C$43,Isolates!$AG$2:$AG$128,"Yes")</f>
        <v/>
      </c>
      <c r="D47" s="19">
        <f>COUNTIFS(Isolates!$Z$2:$Z$128,$A47,Isolates!$O$2:$O$128,D$43,Isolates!$AG$2:$AG$128,"Yes")</f>
        <v/>
      </c>
      <c r="E47" s="19">
        <f>COUNTIFS(Isolates!$Z$2:$Z$128,$A47,Isolates!$O$2:$O$128,E$43,Isolates!$AG$2:$AG$128,"Yes")</f>
        <v/>
      </c>
      <c r="F47" s="19">
        <f>COUNTIFS(Isolates!$Z$2:$Z$128,$A47,Isolates!$O$2:$O$128,F$43,Isolates!$AG$2:$AG$128,"Yes")</f>
        <v/>
      </c>
      <c r="G47" s="19">
        <f>COUNTIFS(Isolates!$Z$2:$Z$128,$A47,Isolates!$O$2:$O$128,G$43,Isolates!$AG$2:$AG$128,"Yes")</f>
        <v/>
      </c>
      <c r="H47" s="19">
        <f>SUM(B47:G47)</f>
        <v/>
      </c>
    </row>
    <row r="48">
      <c r="A48" s="19" t="n">
        <v>69</v>
      </c>
      <c r="B48" s="19">
        <f>COUNTIFS(Isolates!$Z$2:$Z$128,$A48,Isolates!$O$2:$O$128,B$43,Isolates!$AG$2:$AG$128,"Yes")</f>
        <v/>
      </c>
      <c r="C48" s="19">
        <f>COUNTIFS(Isolates!$Z$2:$Z$128,$A48,Isolates!$O$2:$O$128,C$43,Isolates!$AG$2:$AG$128,"Yes")</f>
        <v/>
      </c>
      <c r="D48" s="19">
        <f>COUNTIFS(Isolates!$Z$2:$Z$128,$A48,Isolates!$O$2:$O$128,D$43,Isolates!$AG$2:$AG$128,"Yes")</f>
        <v/>
      </c>
      <c r="E48" s="19">
        <f>COUNTIFS(Isolates!$Z$2:$Z$128,$A48,Isolates!$O$2:$O$128,E$43,Isolates!$AG$2:$AG$128,"Yes")</f>
        <v/>
      </c>
      <c r="F48" s="19">
        <f>COUNTIFS(Isolates!$Z$2:$Z$128,$A48,Isolates!$O$2:$O$128,F$43,Isolates!$AG$2:$AG$128,"Yes")</f>
        <v/>
      </c>
      <c r="G48" s="19">
        <f>COUNTIFS(Isolates!$Z$2:$Z$128,$A48,Isolates!$O$2:$O$128,G$43,Isolates!$AG$2:$AG$128,"Yes")</f>
        <v/>
      </c>
      <c r="H48" s="19">
        <f>SUM(B48:G48)</f>
        <v/>
      </c>
    </row>
    <row r="49">
      <c r="A49" s="19" t="n">
        <v>117</v>
      </c>
      <c r="B49" s="19">
        <f>COUNTIFS(Isolates!$Z$2:$Z$128,$A49,Isolates!$O$2:$O$128,B$43,Isolates!$AG$2:$AG$128,"Yes")</f>
        <v/>
      </c>
      <c r="C49" s="19">
        <f>COUNTIFS(Isolates!$Z$2:$Z$128,$A49,Isolates!$O$2:$O$128,C$43,Isolates!$AG$2:$AG$128,"Yes")</f>
        <v/>
      </c>
      <c r="D49" s="19">
        <f>COUNTIFS(Isolates!$Z$2:$Z$128,$A49,Isolates!$O$2:$O$128,D$43,Isolates!$AG$2:$AG$128,"Yes")</f>
        <v/>
      </c>
      <c r="E49" s="19">
        <f>COUNTIFS(Isolates!$Z$2:$Z$128,$A49,Isolates!$O$2:$O$128,E$43,Isolates!$AG$2:$AG$128,"Yes")</f>
        <v/>
      </c>
      <c r="F49" s="19">
        <f>COUNTIFS(Isolates!$Z$2:$Z$128,$A49,Isolates!$O$2:$O$128,F$43,Isolates!$AG$2:$AG$128,"Yes")</f>
        <v/>
      </c>
      <c r="G49" s="19">
        <f>COUNTIFS(Isolates!$Z$2:$Z$128,$A49,Isolates!$O$2:$O$128,G$43,Isolates!$AG$2:$AG$128,"Yes")</f>
        <v/>
      </c>
      <c r="H49" s="19">
        <f>SUM(B49:G49)</f>
        <v/>
      </c>
    </row>
    <row r="50">
      <c r="A50" s="19" t="n">
        <v>224</v>
      </c>
      <c r="B50" s="19">
        <f>COUNTIFS(Isolates!$Z$2:$Z$128,$A50,Isolates!$O$2:$O$128,B$43,Isolates!$AG$2:$AG$128,"Yes")</f>
        <v/>
      </c>
      <c r="C50" s="19">
        <f>COUNTIFS(Isolates!$Z$2:$Z$128,$A50,Isolates!$O$2:$O$128,C$43,Isolates!$AG$2:$AG$128,"Yes")</f>
        <v/>
      </c>
      <c r="D50" s="19">
        <f>COUNTIFS(Isolates!$Z$2:$Z$128,$A50,Isolates!$O$2:$O$128,D$43,Isolates!$AG$2:$AG$128,"Yes")</f>
        <v/>
      </c>
      <c r="E50" s="19">
        <f>COUNTIFS(Isolates!$Z$2:$Z$128,$A50,Isolates!$O$2:$O$128,E$43,Isolates!$AG$2:$AG$128,"Yes")</f>
        <v/>
      </c>
      <c r="F50" s="19">
        <f>COUNTIFS(Isolates!$Z$2:$Z$128,$A50,Isolates!$O$2:$O$128,F$43,Isolates!$AG$2:$AG$128,"Yes")</f>
        <v/>
      </c>
      <c r="G50" s="19">
        <f>COUNTIFS(Isolates!$Z$2:$Z$128,$A50,Isolates!$O$2:$O$128,G$43,Isolates!$AG$2:$AG$128,"Yes")</f>
        <v/>
      </c>
      <c r="H50" s="19">
        <f>SUM(B50:G50)</f>
        <v/>
      </c>
    </row>
    <row r="51">
      <c r="A51" s="19" t="n">
        <v>616</v>
      </c>
      <c r="B51" s="19">
        <f>COUNTIFS(Isolates!$Z$2:$Z$128,$A51,Isolates!$O$2:$O$128,B$43,Isolates!$AG$2:$AG$128,"Yes")</f>
        <v/>
      </c>
      <c r="C51" s="19">
        <f>COUNTIFS(Isolates!$Z$2:$Z$128,$A51,Isolates!$O$2:$O$128,C$43,Isolates!$AG$2:$AG$128,"Yes")</f>
        <v/>
      </c>
      <c r="D51" s="19">
        <f>COUNTIFS(Isolates!$Z$2:$Z$128,$A51,Isolates!$O$2:$O$128,D$43,Isolates!$AG$2:$AG$128,"Yes")</f>
        <v/>
      </c>
      <c r="E51" s="19">
        <f>COUNTIFS(Isolates!$Z$2:$Z$128,$A51,Isolates!$O$2:$O$128,E$43,Isolates!$AG$2:$AG$128,"Yes")</f>
        <v/>
      </c>
      <c r="F51" s="19">
        <f>COUNTIFS(Isolates!$Z$2:$Z$128,$A51,Isolates!$O$2:$O$128,F$43,Isolates!$AG$2:$AG$128,"Yes")</f>
        <v/>
      </c>
      <c r="G51" s="19">
        <f>COUNTIFS(Isolates!$Z$2:$Z$128,$A51,Isolates!$O$2:$O$128,G$43,Isolates!$AG$2:$AG$128,"Yes")</f>
        <v/>
      </c>
      <c r="H51" s="19">
        <f>SUM(B51:G51)</f>
        <v/>
      </c>
    </row>
    <row r="52">
      <c r="A52" s="19" t="n">
        <v>3941</v>
      </c>
      <c r="B52" s="19">
        <f>COUNTIFS(Isolates!$Z$2:$Z$128,$A52,Isolates!$O$2:$O$128,B$43,Isolates!$AG$2:$AG$128,"Yes")</f>
        <v/>
      </c>
      <c r="C52" s="19">
        <f>COUNTIFS(Isolates!$Z$2:$Z$128,$A52,Isolates!$O$2:$O$128,C$43,Isolates!$AG$2:$AG$128,"Yes")</f>
        <v/>
      </c>
      <c r="D52" s="19">
        <f>COUNTIFS(Isolates!$Z$2:$Z$128,$A52,Isolates!$O$2:$O$128,D$43,Isolates!$AG$2:$AG$128,"Yes")</f>
        <v/>
      </c>
      <c r="E52" s="19">
        <f>COUNTIFS(Isolates!$Z$2:$Z$128,$A52,Isolates!$O$2:$O$128,E$43,Isolates!$AG$2:$AG$128,"Yes")</f>
        <v/>
      </c>
      <c r="F52" s="19">
        <f>COUNTIFS(Isolates!$Z$2:$Z$128,$A52,Isolates!$O$2:$O$128,F$43,Isolates!$AG$2:$AG$128,"Yes")</f>
        <v/>
      </c>
      <c r="G52" s="19">
        <f>COUNTIFS(Isolates!$Z$2:$Z$128,$A52,Isolates!$O$2:$O$128,G$43,Isolates!$AG$2:$AG$128,"Yes")</f>
        <v/>
      </c>
      <c r="H52" s="19">
        <f>SUM(B52:G52)</f>
        <v/>
      </c>
    </row>
    <row r="53">
      <c r="A53" s="19" t="n">
        <v>226</v>
      </c>
      <c r="B53" s="19">
        <f>COUNTIFS(Isolates!$Z$2:$Z$128,$A53,Isolates!$O$2:$O$128,B$43,Isolates!$AG$2:$AG$128,"Yes")</f>
        <v/>
      </c>
      <c r="C53" s="19">
        <f>COUNTIFS(Isolates!$Z$2:$Z$128,$A53,Isolates!$O$2:$O$128,C$43,Isolates!$AG$2:$AG$128,"Yes")</f>
        <v/>
      </c>
      <c r="D53" s="19">
        <f>COUNTIFS(Isolates!$Z$2:$Z$128,$A53,Isolates!$O$2:$O$128,D$43,Isolates!$AG$2:$AG$128,"Yes")</f>
        <v/>
      </c>
      <c r="E53" s="19">
        <f>COUNTIFS(Isolates!$Z$2:$Z$128,$A53,Isolates!$O$2:$O$128,E$43,Isolates!$AG$2:$AG$128,"Yes")</f>
        <v/>
      </c>
      <c r="F53" s="19">
        <f>COUNTIFS(Isolates!$Z$2:$Z$128,$A53,Isolates!$O$2:$O$128,F$43,Isolates!$AG$2:$AG$128,"Yes")</f>
        <v/>
      </c>
      <c r="G53" s="19">
        <f>COUNTIFS(Isolates!$Z$2:$Z$128,$A53,Isolates!$O$2:$O$128,G$43,Isolates!$AG$2:$AG$128,"Yes")</f>
        <v/>
      </c>
      <c r="H53" s="19">
        <f>SUM(B53:G53)</f>
        <v/>
      </c>
    </row>
    <row r="54">
      <c r="A54" s="19" t="n">
        <v>101</v>
      </c>
      <c r="B54" s="19">
        <f>COUNTIFS(Isolates!$Z$2:$Z$128,$A54,Isolates!$O$2:$O$128,B$43,Isolates!$AG$2:$AG$128,"Yes")</f>
        <v/>
      </c>
      <c r="C54" s="19">
        <f>COUNTIFS(Isolates!$Z$2:$Z$128,$A54,Isolates!$O$2:$O$128,C$43,Isolates!$AG$2:$AG$128,"Yes")</f>
        <v/>
      </c>
      <c r="D54" s="19">
        <f>COUNTIFS(Isolates!$Z$2:$Z$128,$A54,Isolates!$O$2:$O$128,D$43,Isolates!$AG$2:$AG$128,"Yes")</f>
        <v/>
      </c>
      <c r="E54" s="19">
        <f>COUNTIFS(Isolates!$Z$2:$Z$128,$A54,Isolates!$O$2:$O$128,E$43,Isolates!$AG$2:$AG$128,"Yes")</f>
        <v/>
      </c>
      <c r="F54" s="19">
        <f>COUNTIFS(Isolates!$Z$2:$Z$128,$A54,Isolates!$O$2:$O$128,F$43,Isolates!$AG$2:$AG$128,"Yes")</f>
        <v/>
      </c>
      <c r="G54" s="19">
        <f>COUNTIFS(Isolates!$Z$2:$Z$128,$A54,Isolates!$O$2:$O$128,G$43,Isolates!$AG$2:$AG$128,"Yes")</f>
        <v/>
      </c>
      <c r="H54" s="19">
        <f>SUM(B54:G54)</f>
        <v/>
      </c>
    </row>
    <row r="55">
      <c r="A55" s="19" t="n">
        <v>93</v>
      </c>
      <c r="B55" s="19">
        <f>COUNTIFS(Isolates!$Z$2:$Z$128,$A55,Isolates!$O$2:$O$128,B$43,Isolates!$AG$2:$AG$128,"Yes")</f>
        <v/>
      </c>
      <c r="C55" s="19">
        <f>COUNTIFS(Isolates!$Z$2:$Z$128,$A55,Isolates!$O$2:$O$128,C$43,Isolates!$AG$2:$AG$128,"Yes")</f>
        <v/>
      </c>
      <c r="D55" s="19">
        <f>COUNTIFS(Isolates!$Z$2:$Z$128,$A55,Isolates!$O$2:$O$128,D$43,Isolates!$AG$2:$AG$128,"Yes")</f>
        <v/>
      </c>
      <c r="E55" s="19">
        <f>COUNTIFS(Isolates!$Z$2:$Z$128,$A55,Isolates!$O$2:$O$128,E$43,Isolates!$AG$2:$AG$128,"Yes")</f>
        <v/>
      </c>
      <c r="F55" s="19">
        <f>COUNTIFS(Isolates!$Z$2:$Z$128,$A55,Isolates!$O$2:$O$128,F$43,Isolates!$AG$2:$AG$128,"Yes")</f>
        <v/>
      </c>
      <c r="G55" s="19">
        <f>COUNTIFS(Isolates!$Z$2:$Z$128,$A55,Isolates!$O$2:$O$128,G$43,Isolates!$AG$2:$AG$128,"Yes")</f>
        <v/>
      </c>
      <c r="H55" s="19">
        <f>SUM(B55:G55)</f>
        <v/>
      </c>
    </row>
    <row r="56">
      <c r="A56" s="19" t="n">
        <v>410</v>
      </c>
      <c r="B56" s="19">
        <f>COUNTIFS(Isolates!$Z$2:$Z$128,$A56,Isolates!$O$2:$O$128,B$43,Isolates!$AG$2:$AG$128,"Yes")</f>
        <v/>
      </c>
      <c r="C56" s="19">
        <f>COUNTIFS(Isolates!$Z$2:$Z$128,$A56,Isolates!$O$2:$O$128,C$43,Isolates!$AG$2:$AG$128,"Yes")</f>
        <v/>
      </c>
      <c r="D56" s="19">
        <f>COUNTIFS(Isolates!$Z$2:$Z$128,$A56,Isolates!$O$2:$O$128,D$43,Isolates!$AG$2:$AG$128,"Yes")</f>
        <v/>
      </c>
      <c r="E56" s="19">
        <f>COUNTIFS(Isolates!$Z$2:$Z$128,$A56,Isolates!$O$2:$O$128,E$43,Isolates!$AG$2:$AG$128,"Yes")</f>
        <v/>
      </c>
      <c r="F56" s="19">
        <f>COUNTIFS(Isolates!$Z$2:$Z$128,$A56,Isolates!$O$2:$O$128,F$43,Isolates!$AG$2:$AG$128,"Yes")</f>
        <v/>
      </c>
      <c r="G56" s="19">
        <f>COUNTIFS(Isolates!$Z$2:$Z$128,$A56,Isolates!$O$2:$O$128,G$43,Isolates!$AG$2:$AG$128,"Yes")</f>
        <v/>
      </c>
      <c r="H56" s="19">
        <f>SUM(B56:G56)</f>
        <v/>
      </c>
    </row>
    <row r="57">
      <c r="A57" s="19" t="n">
        <v>744</v>
      </c>
      <c r="B57" s="19">
        <f>COUNTIFS(Isolates!$Z$2:$Z$128,$A57,Isolates!$O$2:$O$128,B$43,Isolates!$AG$2:$AG$128,"Yes")</f>
        <v/>
      </c>
      <c r="C57" s="19">
        <f>COUNTIFS(Isolates!$Z$2:$Z$128,$A57,Isolates!$O$2:$O$128,C$43,Isolates!$AG$2:$AG$128,"Yes")</f>
        <v/>
      </c>
      <c r="D57" s="19">
        <f>COUNTIFS(Isolates!$Z$2:$Z$128,$A57,Isolates!$O$2:$O$128,D$43,Isolates!$AG$2:$AG$128,"Yes")</f>
        <v/>
      </c>
      <c r="E57" s="19">
        <f>COUNTIFS(Isolates!$Z$2:$Z$128,$A57,Isolates!$O$2:$O$128,E$43,Isolates!$AG$2:$AG$128,"Yes")</f>
        <v/>
      </c>
      <c r="F57" s="19">
        <f>COUNTIFS(Isolates!$Z$2:$Z$128,$A57,Isolates!$O$2:$O$128,F$43,Isolates!$AG$2:$AG$128,"Yes")</f>
        <v/>
      </c>
      <c r="G57" s="19">
        <f>COUNTIFS(Isolates!$Z$2:$Z$128,$A57,Isolates!$O$2:$O$128,G$43,Isolates!$AG$2:$AG$128,"Yes")</f>
        <v/>
      </c>
      <c r="H57" s="19">
        <f>SUM(B57:G57)</f>
        <v/>
      </c>
    </row>
    <row r="58">
      <c r="A58" s="19" t="n">
        <v>1011</v>
      </c>
      <c r="B58" s="19">
        <f>COUNTIFS(Isolates!$Z$2:$Z$128,$A58,Isolates!$O$2:$O$128,B$43,Isolates!$AG$2:$AG$128,"Yes")</f>
        <v/>
      </c>
      <c r="C58" s="19">
        <f>COUNTIFS(Isolates!$Z$2:$Z$128,$A58,Isolates!$O$2:$O$128,C$43,Isolates!$AG$2:$AG$128,"Yes")</f>
        <v/>
      </c>
      <c r="D58" s="19">
        <f>COUNTIFS(Isolates!$Z$2:$Z$128,$A58,Isolates!$O$2:$O$128,D$43,Isolates!$AG$2:$AG$128,"Yes")</f>
        <v/>
      </c>
      <c r="E58" s="19">
        <f>COUNTIFS(Isolates!$Z$2:$Z$128,$A58,Isolates!$O$2:$O$128,E$43,Isolates!$AG$2:$AG$128,"Yes")</f>
        <v/>
      </c>
      <c r="F58" s="19">
        <f>COUNTIFS(Isolates!$Z$2:$Z$128,$A58,Isolates!$O$2:$O$128,F$43,Isolates!$AG$2:$AG$128,"Yes")</f>
        <v/>
      </c>
      <c r="G58" s="19">
        <f>COUNTIFS(Isolates!$Z$2:$Z$128,$A58,Isolates!$O$2:$O$128,G$43,Isolates!$AG$2:$AG$128,"Yes")</f>
        <v/>
      </c>
      <c r="H58" s="19">
        <f>SUM(B58:G58)</f>
        <v/>
      </c>
    </row>
    <row r="59">
      <c r="A59" s="19" t="n">
        <v>38</v>
      </c>
      <c r="B59" s="19">
        <f>COUNTIFS(Isolates!$Z$2:$Z$128,$A59,Isolates!$O$2:$O$128,B$43,Isolates!$AG$2:$AG$128,"Yes")</f>
        <v/>
      </c>
      <c r="C59" s="19">
        <f>COUNTIFS(Isolates!$Z$2:$Z$128,$A59,Isolates!$O$2:$O$128,C$43,Isolates!$AG$2:$AG$128,"Yes")</f>
        <v/>
      </c>
      <c r="D59" s="19">
        <f>COUNTIFS(Isolates!$Z$2:$Z$128,$A59,Isolates!$O$2:$O$128,D$43,Isolates!$AG$2:$AG$128,"Yes")</f>
        <v/>
      </c>
      <c r="E59" s="19">
        <f>COUNTIFS(Isolates!$Z$2:$Z$128,$A59,Isolates!$O$2:$O$128,E$43,Isolates!$AG$2:$AG$128,"Yes")</f>
        <v/>
      </c>
      <c r="F59" s="19">
        <f>COUNTIFS(Isolates!$Z$2:$Z$128,$A59,Isolates!$O$2:$O$128,F$43,Isolates!$AG$2:$AG$128,"Yes")</f>
        <v/>
      </c>
      <c r="G59" s="19">
        <f>COUNTIFS(Isolates!$Z$2:$Z$128,$A59,Isolates!$O$2:$O$128,G$43,Isolates!$AG$2:$AG$128,"Yes")</f>
        <v/>
      </c>
      <c r="H59" s="19">
        <f>SUM(B59:G59)</f>
        <v/>
      </c>
    </row>
    <row r="60">
      <c r="A60" s="19" t="n">
        <v>167</v>
      </c>
      <c r="B60" s="19">
        <f>COUNTIFS(Isolates!$Z$2:$Z$128,$A60,Isolates!$O$2:$O$128,B$43,Isolates!$AG$2:$AG$128,"Yes")</f>
        <v/>
      </c>
      <c r="C60" s="19">
        <f>COUNTIFS(Isolates!$Z$2:$Z$128,$A60,Isolates!$O$2:$O$128,C$43,Isolates!$AG$2:$AG$128,"Yes")</f>
        <v/>
      </c>
      <c r="D60" s="19">
        <f>COUNTIFS(Isolates!$Z$2:$Z$128,$A60,Isolates!$O$2:$O$128,D$43,Isolates!$AG$2:$AG$128,"Yes")</f>
        <v/>
      </c>
      <c r="E60" s="19">
        <f>COUNTIFS(Isolates!$Z$2:$Z$128,$A60,Isolates!$O$2:$O$128,E$43,Isolates!$AG$2:$AG$128,"Yes")</f>
        <v/>
      </c>
      <c r="F60" s="19">
        <f>COUNTIFS(Isolates!$Z$2:$Z$128,$A60,Isolates!$O$2:$O$128,F$43,Isolates!$AG$2:$AG$128,"Yes")</f>
        <v/>
      </c>
      <c r="G60" s="19">
        <f>COUNTIFS(Isolates!$Z$2:$Z$128,$A60,Isolates!$O$2:$O$128,G$43,Isolates!$AG$2:$AG$128,"Yes")</f>
        <v/>
      </c>
      <c r="H60" s="19">
        <f>SUM(B60:G60)</f>
        <v/>
      </c>
    </row>
    <row r="61">
      <c r="A61" s="19" t="n">
        <v>189</v>
      </c>
      <c r="B61" s="19">
        <f>COUNTIFS(Isolates!$Z$2:$Z$128,$A61,Isolates!$O$2:$O$128,B$43,Isolates!$AG$2:$AG$128,"Yes")</f>
        <v/>
      </c>
      <c r="C61" s="19">
        <f>COUNTIFS(Isolates!$Z$2:$Z$128,$A61,Isolates!$O$2:$O$128,C$43,Isolates!$AG$2:$AG$128,"Yes")</f>
        <v/>
      </c>
      <c r="D61" s="19">
        <f>COUNTIFS(Isolates!$Z$2:$Z$128,$A61,Isolates!$O$2:$O$128,D$43,Isolates!$AG$2:$AG$128,"Yes")</f>
        <v/>
      </c>
      <c r="E61" s="19">
        <f>COUNTIFS(Isolates!$Z$2:$Z$128,$A61,Isolates!$O$2:$O$128,E$43,Isolates!$AG$2:$AG$128,"Yes")</f>
        <v/>
      </c>
      <c r="F61" s="19">
        <f>COUNTIFS(Isolates!$Z$2:$Z$128,$A61,Isolates!$O$2:$O$128,F$43,Isolates!$AG$2:$AG$128,"Yes")</f>
        <v/>
      </c>
      <c r="G61" s="19">
        <f>COUNTIFS(Isolates!$Z$2:$Z$128,$A61,Isolates!$O$2:$O$128,G$43,Isolates!$AG$2:$AG$128,"Yes")</f>
        <v/>
      </c>
      <c r="H61" s="19">
        <f>SUM(B61:G61)</f>
        <v/>
      </c>
    </row>
    <row r="62">
      <c r="A62" s="19" t="n">
        <v>191</v>
      </c>
      <c r="B62" s="19">
        <f>COUNTIFS(Isolates!$Z$2:$Z$128,$A62,Isolates!$O$2:$O$128,B$43,Isolates!$AG$2:$AG$128,"Yes")</f>
        <v/>
      </c>
      <c r="C62" s="19">
        <f>COUNTIFS(Isolates!$Z$2:$Z$128,$A62,Isolates!$O$2:$O$128,C$43,Isolates!$AG$2:$AG$128,"Yes")</f>
        <v/>
      </c>
      <c r="D62" s="19">
        <f>COUNTIFS(Isolates!$Z$2:$Z$128,$A62,Isolates!$O$2:$O$128,D$43,Isolates!$AG$2:$AG$128,"Yes")</f>
        <v/>
      </c>
      <c r="E62" s="19">
        <f>COUNTIFS(Isolates!$Z$2:$Z$128,$A62,Isolates!$O$2:$O$128,E$43,Isolates!$AG$2:$AG$128,"Yes")</f>
        <v/>
      </c>
      <c r="F62" s="19">
        <f>COUNTIFS(Isolates!$Z$2:$Z$128,$A62,Isolates!$O$2:$O$128,F$43,Isolates!$AG$2:$AG$128,"Yes")</f>
        <v/>
      </c>
      <c r="G62" s="19">
        <f>COUNTIFS(Isolates!$Z$2:$Z$128,$A62,Isolates!$O$2:$O$128,G$43,Isolates!$AG$2:$AG$128,"Yes")</f>
        <v/>
      </c>
      <c r="H62" s="19">
        <f>SUM(B62:G62)</f>
        <v/>
      </c>
    </row>
    <row r="63">
      <c r="A63" s="19" t="n">
        <v>297</v>
      </c>
      <c r="B63" s="19">
        <f>COUNTIFS(Isolates!$Z$2:$Z$128,$A63,Isolates!$O$2:$O$128,B$43,Isolates!$AG$2:$AG$128,"Yes")</f>
        <v/>
      </c>
      <c r="C63" s="19">
        <f>COUNTIFS(Isolates!$Z$2:$Z$128,$A63,Isolates!$O$2:$O$128,C$43,Isolates!$AG$2:$AG$128,"Yes")</f>
        <v/>
      </c>
      <c r="D63" s="19">
        <f>COUNTIFS(Isolates!$Z$2:$Z$128,$A63,Isolates!$O$2:$O$128,D$43,Isolates!$AG$2:$AG$128,"Yes")</f>
        <v/>
      </c>
      <c r="E63" s="19">
        <f>COUNTIFS(Isolates!$Z$2:$Z$128,$A63,Isolates!$O$2:$O$128,E$43,Isolates!$AG$2:$AG$128,"Yes")</f>
        <v/>
      </c>
      <c r="F63" s="19">
        <f>COUNTIFS(Isolates!$Z$2:$Z$128,$A63,Isolates!$O$2:$O$128,F$43,Isolates!$AG$2:$AG$128,"Yes")</f>
        <v/>
      </c>
      <c r="G63" s="19">
        <f>COUNTIFS(Isolates!$Z$2:$Z$128,$A63,Isolates!$O$2:$O$128,G$43,Isolates!$AG$2:$AG$128,"Yes")</f>
        <v/>
      </c>
      <c r="H63" s="19">
        <f>SUM(B63:G63)</f>
        <v/>
      </c>
    </row>
    <row r="64">
      <c r="A64" s="19" t="n">
        <v>354</v>
      </c>
      <c r="B64" s="19">
        <f>COUNTIFS(Isolates!$Z$2:$Z$128,$A64,Isolates!$O$2:$O$128,B$43,Isolates!$AG$2:$AG$128,"Yes")</f>
        <v/>
      </c>
      <c r="C64" s="19">
        <f>COUNTIFS(Isolates!$Z$2:$Z$128,$A64,Isolates!$O$2:$O$128,C$43,Isolates!$AG$2:$AG$128,"Yes")</f>
        <v/>
      </c>
      <c r="D64" s="19">
        <f>COUNTIFS(Isolates!$Z$2:$Z$128,$A64,Isolates!$O$2:$O$128,D$43,Isolates!$AG$2:$AG$128,"Yes")</f>
        <v/>
      </c>
      <c r="E64" s="19">
        <f>COUNTIFS(Isolates!$Z$2:$Z$128,$A64,Isolates!$O$2:$O$128,E$43,Isolates!$AG$2:$AG$128,"Yes")</f>
        <v/>
      </c>
      <c r="F64" s="19">
        <f>COUNTIFS(Isolates!$Z$2:$Z$128,$A64,Isolates!$O$2:$O$128,F$43,Isolates!$AG$2:$AG$128,"Yes")</f>
        <v/>
      </c>
      <c r="G64" s="19">
        <f>COUNTIFS(Isolates!$Z$2:$Z$128,$A64,Isolates!$O$2:$O$128,G$43,Isolates!$AG$2:$AG$128,"Yes")</f>
        <v/>
      </c>
      <c r="H64" s="19">
        <f>SUM(B64:G64)</f>
        <v/>
      </c>
    </row>
    <row r="65">
      <c r="A65" s="19" t="n">
        <v>484</v>
      </c>
      <c r="B65" s="19">
        <f>COUNTIFS(Isolates!$Z$2:$Z$128,$A65,Isolates!$O$2:$O$128,B$43,Isolates!$AG$2:$AG$128,"Yes")</f>
        <v/>
      </c>
      <c r="C65" s="19">
        <f>COUNTIFS(Isolates!$Z$2:$Z$128,$A65,Isolates!$O$2:$O$128,C$43,Isolates!$AG$2:$AG$128,"Yes")</f>
        <v/>
      </c>
      <c r="D65" s="19">
        <f>COUNTIFS(Isolates!$Z$2:$Z$128,$A65,Isolates!$O$2:$O$128,D$43,Isolates!$AG$2:$AG$128,"Yes")</f>
        <v/>
      </c>
      <c r="E65" s="19">
        <f>COUNTIFS(Isolates!$Z$2:$Z$128,$A65,Isolates!$O$2:$O$128,E$43,Isolates!$AG$2:$AG$128,"Yes")</f>
        <v/>
      </c>
      <c r="F65" s="19">
        <f>COUNTIFS(Isolates!$Z$2:$Z$128,$A65,Isolates!$O$2:$O$128,F$43,Isolates!$AG$2:$AG$128,"Yes")</f>
        <v/>
      </c>
      <c r="G65" s="19">
        <f>COUNTIFS(Isolates!$Z$2:$Z$128,$A65,Isolates!$O$2:$O$128,G$43,Isolates!$AG$2:$AG$128,"Yes")</f>
        <v/>
      </c>
      <c r="H65" s="19">
        <f>SUM(B65:G65)</f>
        <v/>
      </c>
    </row>
    <row r="66">
      <c r="A66" s="19" t="n">
        <v>1266</v>
      </c>
      <c r="B66" s="19">
        <f>COUNTIFS(Isolates!$Z$2:$Z$128,$A66,Isolates!$O$2:$O$128,B$43,Isolates!$AG$2:$AG$128,"Yes")</f>
        <v/>
      </c>
      <c r="C66" s="19">
        <f>COUNTIFS(Isolates!$Z$2:$Z$128,$A66,Isolates!$O$2:$O$128,C$43,Isolates!$AG$2:$AG$128,"Yes")</f>
        <v/>
      </c>
      <c r="D66" s="19">
        <f>COUNTIFS(Isolates!$Z$2:$Z$128,$A66,Isolates!$O$2:$O$128,D$43,Isolates!$AG$2:$AG$128,"Yes")</f>
        <v/>
      </c>
      <c r="E66" s="19">
        <f>COUNTIFS(Isolates!$Z$2:$Z$128,$A66,Isolates!$O$2:$O$128,E$43,Isolates!$AG$2:$AG$128,"Yes")</f>
        <v/>
      </c>
      <c r="F66" s="19">
        <f>COUNTIFS(Isolates!$Z$2:$Z$128,$A66,Isolates!$O$2:$O$128,F$43,Isolates!$AG$2:$AG$128,"Yes")</f>
        <v/>
      </c>
      <c r="G66" s="19">
        <f>COUNTIFS(Isolates!$Z$2:$Z$128,$A66,Isolates!$O$2:$O$128,G$43,Isolates!$AG$2:$AG$128,"Yes")</f>
        <v/>
      </c>
      <c r="H66" s="19">
        <f>SUM(B66:G66)</f>
        <v/>
      </c>
    </row>
    <row r="67">
      <c r="A67" s="19" t="n">
        <v>2485</v>
      </c>
      <c r="B67" s="19">
        <f>COUNTIFS(Isolates!$Z$2:$Z$128,$A67,Isolates!$O$2:$O$128,B$43,Isolates!$AG$2:$AG$128,"Yes")</f>
        <v/>
      </c>
      <c r="C67" s="19">
        <f>COUNTIFS(Isolates!$Z$2:$Z$128,$A67,Isolates!$O$2:$O$128,C$43,Isolates!$AG$2:$AG$128,"Yes")</f>
        <v/>
      </c>
      <c r="D67" s="19">
        <f>COUNTIFS(Isolates!$Z$2:$Z$128,$A67,Isolates!$O$2:$O$128,D$43,Isolates!$AG$2:$AG$128,"Yes")</f>
        <v/>
      </c>
      <c r="E67" s="19">
        <f>COUNTIFS(Isolates!$Z$2:$Z$128,$A67,Isolates!$O$2:$O$128,E$43,Isolates!$AG$2:$AG$128,"Yes")</f>
        <v/>
      </c>
      <c r="F67" s="19">
        <f>COUNTIFS(Isolates!$Z$2:$Z$128,$A67,Isolates!$O$2:$O$128,F$43,Isolates!$AG$2:$AG$128,"Yes")</f>
        <v/>
      </c>
      <c r="G67" s="19">
        <f>COUNTIFS(Isolates!$Z$2:$Z$128,$A67,Isolates!$O$2:$O$128,G$43,Isolates!$AG$2:$AG$128,"Yes")</f>
        <v/>
      </c>
      <c r="H67" s="19">
        <f>SUM(B67:G67)</f>
        <v/>
      </c>
    </row>
    <row r="68">
      <c r="A68" s="19" t="n">
        <v>8492</v>
      </c>
      <c r="B68" s="19">
        <f>COUNTIFS(Isolates!$Z$2:$Z$128,$A68,Isolates!$O$2:$O$128,B$43,Isolates!$AG$2:$AG$128,"Yes")</f>
        <v/>
      </c>
      <c r="C68" s="19">
        <f>COUNTIFS(Isolates!$Z$2:$Z$128,$A68,Isolates!$O$2:$O$128,C$43,Isolates!$AG$2:$AG$128,"Yes")</f>
        <v/>
      </c>
      <c r="D68" s="19">
        <f>COUNTIFS(Isolates!$Z$2:$Z$128,$A68,Isolates!$O$2:$O$128,D$43,Isolates!$AG$2:$AG$128,"Yes")</f>
        <v/>
      </c>
      <c r="E68" s="19">
        <f>COUNTIFS(Isolates!$Z$2:$Z$128,$A68,Isolates!$O$2:$O$128,E$43,Isolates!$AG$2:$AG$128,"Yes")</f>
        <v/>
      </c>
      <c r="F68" s="19">
        <f>COUNTIFS(Isolates!$Z$2:$Z$128,$A68,Isolates!$O$2:$O$128,F$43,Isolates!$AG$2:$AG$128,"Yes")</f>
        <v/>
      </c>
      <c r="G68" s="19">
        <f>COUNTIFS(Isolates!$Z$2:$Z$128,$A68,Isolates!$O$2:$O$128,G$43,Isolates!$AG$2:$AG$128,"Yes")</f>
        <v/>
      </c>
      <c r="H68" s="19">
        <f>SUM(B68:G68)</f>
        <v/>
      </c>
    </row>
    <row r="69">
      <c r="A69" s="19" t="n">
        <v>9697</v>
      </c>
      <c r="B69" s="19">
        <f>COUNTIFS(Isolates!$Z$2:$Z$128,$A69,Isolates!$O$2:$O$128,B$43,Isolates!$AG$2:$AG$128,"Yes")</f>
        <v/>
      </c>
      <c r="C69" s="19">
        <f>COUNTIFS(Isolates!$Z$2:$Z$128,$A69,Isolates!$O$2:$O$128,C$43,Isolates!$AG$2:$AG$128,"Yes")</f>
        <v/>
      </c>
      <c r="D69" s="19">
        <f>COUNTIFS(Isolates!$Z$2:$Z$128,$A69,Isolates!$O$2:$O$128,D$43,Isolates!$AG$2:$AG$128,"Yes")</f>
        <v/>
      </c>
      <c r="E69" s="19">
        <f>COUNTIFS(Isolates!$Z$2:$Z$128,$A69,Isolates!$O$2:$O$128,E$43,Isolates!$AG$2:$AG$128,"Yes")</f>
        <v/>
      </c>
      <c r="F69" s="19">
        <f>COUNTIFS(Isolates!$Z$2:$Z$128,$A69,Isolates!$O$2:$O$128,F$43,Isolates!$AG$2:$AG$128,"Yes")</f>
        <v/>
      </c>
      <c r="G69" s="19">
        <f>COUNTIFS(Isolates!$Z$2:$Z$128,$A69,Isolates!$O$2:$O$128,G$43,Isolates!$AG$2:$AG$128,"Yes")</f>
        <v/>
      </c>
      <c r="H69" s="19">
        <f>SUM(B69:G69)</f>
        <v/>
      </c>
    </row>
    <row r="70">
      <c r="A70" s="19" t="inlineStr">
        <is>
          <t>Untypeable</t>
        </is>
      </c>
      <c r="B70" s="19">
        <f>COUNTIFS(Isolates!$Z$2:$Z$128,$A70,Isolates!$O$2:$O$128,B$43,Isolates!$AG$2:$AG$128,"Yes")</f>
        <v/>
      </c>
      <c r="C70" s="19">
        <f>COUNTIFS(Isolates!$Z$2:$Z$128,$A70,Isolates!$O$2:$O$128,C$43,Isolates!$AG$2:$AG$128,"Yes")</f>
        <v/>
      </c>
      <c r="D70" s="19">
        <f>COUNTIFS(Isolates!$Z$2:$Z$128,$A70,Isolates!$O$2:$O$128,D$43,Isolates!$AG$2:$AG$128,"Yes")</f>
        <v/>
      </c>
      <c r="E70" s="19">
        <f>COUNTIFS(Isolates!$Z$2:$Z$128,$A70,Isolates!$O$2:$O$128,E$43,Isolates!$AG$2:$AG$128,"Yes")</f>
        <v/>
      </c>
      <c r="F70" s="19">
        <f>COUNTIFS(Isolates!$Z$2:$Z$128,$A70,Isolates!$O$2:$O$128,F$43,Isolates!$AG$2:$AG$128,"Yes")</f>
        <v/>
      </c>
      <c r="G70" s="19">
        <f>COUNTIFS(Isolates!$Z$2:$Z$128,$A70,Isolates!$O$2:$O$128,G$43,Isolates!$AG$2:$AG$128,"Yes")</f>
        <v/>
      </c>
      <c r="H70" s="19">
        <f>SUM(B70:G70)</f>
        <v/>
      </c>
    </row>
    <row r="71">
      <c r="A71" s="19" t="inlineStr">
        <is>
          <t>Other STs (single genome)</t>
        </is>
      </c>
      <c r="B71" s="19">
        <f>COUNTIFS(Isolates!$O$2:$O$128,B$43,Isolates!$Z$2:$Z$128,"&lt;&gt;")-SUM(B44:B70,Isolates!$AG$2:$AG$128,"Yes")</f>
        <v/>
      </c>
      <c r="C71" s="19">
        <f>COUNTIFS(Isolates!$O$2:$O$128,C$43,Isolates!$Z$2:$Z$128,"&lt;&gt;")-SUM(C44:C70,Isolates!$AG$2:$AG$128,"Yes")</f>
        <v/>
      </c>
      <c r="D71" s="19">
        <f>COUNTIFS(Isolates!$O$2:$O$128,D$43,Isolates!$Z$2:$Z$128,"&lt;&gt;")-SUM(D44:D70,Isolates!$AG$2:$AG$128,"Yes")</f>
        <v/>
      </c>
      <c r="E71" s="19">
        <f>COUNTIFS(Isolates!$O$2:$O$128,E$43,Isolates!$Z$2:$Z$128,"&lt;&gt;")-SUM(E44:E70,Isolates!$AG$2:$AG$128,"Yes")</f>
        <v/>
      </c>
      <c r="F71" s="19">
        <f>COUNTIFS(Isolates!$O$2:$O$128,F$43,Isolates!$Z$2:$Z$128,"&lt;&gt;")-SUM(F44:F70,Isolates!$AG$2:$AG$128,"Yes")</f>
        <v/>
      </c>
      <c r="G71" s="19">
        <f>COUNTIFS(Isolates!$O$2:$O$128,G$43,Isolates!$Z$2:$Z$128,"&lt;&gt;")-SUM(G44:G70,Isolates!$AG$2:$AG$128,"Yes")</f>
        <v/>
      </c>
      <c r="H71" s="19">
        <f>SUM(B71:G71)</f>
        <v/>
      </c>
    </row>
    <row r="72">
      <c r="A72" s="37" t="inlineStr">
        <is>
          <t>Total typed or untypeable</t>
        </is>
      </c>
      <c r="B72" s="19">
        <f>SUM(B44:B71)</f>
        <v/>
      </c>
      <c r="C72" s="19">
        <f>SUM(C44:C71)</f>
        <v/>
      </c>
      <c r="D72" s="19">
        <f>SUM(D44:D71)</f>
        <v/>
      </c>
      <c r="E72" s="19">
        <f>SUM(E44:E71)</f>
        <v/>
      </c>
      <c r="F72" s="19">
        <f>SUM(F44:F71)</f>
        <v/>
      </c>
      <c r="G72" s="19">
        <f>SUM(G44:G71)</f>
        <v/>
      </c>
      <c r="H72" s="19">
        <f>SUM(H44:H71)</f>
        <v/>
      </c>
    </row>
    <row r="73"/>
    <row r="74">
      <c r="A74" s="37" t="inlineStr">
        <is>
          <t>Genomes by plasmid replicon linked to mcr and sector</t>
        </is>
      </c>
    </row>
    <row r="75">
      <c r="A75" s="37" t="inlineStr">
        <is>
          <t>Replicon</t>
        </is>
      </c>
      <c r="B75" s="37" t="inlineStr">
        <is>
          <t>Poultry</t>
        </is>
      </c>
      <c r="C75" s="37" t="inlineStr">
        <is>
          <t>Human</t>
        </is>
      </c>
      <c r="D75" s="37" t="inlineStr">
        <is>
          <t>Other animal</t>
        </is>
      </c>
      <c r="E75" s="37" t="inlineStr">
        <is>
          <t>Food (non-poultry)</t>
        </is>
      </c>
      <c r="F75" s="37" t="inlineStr">
        <is>
          <t>Environment</t>
        </is>
      </c>
      <c r="G75" s="37" t="inlineStr">
        <is>
          <t>Unspecified</t>
        </is>
      </c>
      <c r="H75" s="37" t="inlineStr">
        <is>
          <t>Total</t>
        </is>
      </c>
    </row>
    <row r="76">
      <c r="A76" s="19" t="inlineStr">
        <is>
          <t>IncI2</t>
        </is>
      </c>
      <c r="B76" s="19">
        <f>COUNTIFS(Isolates!$AA$2:$AA$128,"*IncI2*",Isolates!$O$2:$O$128,B$75,Isolates!$AG$2:$AG$128,"Yes")</f>
        <v/>
      </c>
      <c r="C76" s="19">
        <f>COUNTIFS(Isolates!$AA$2:$AA$128,"*IncI2*",Isolates!$O$2:$O$128,C$75,Isolates!$AG$2:$AG$128,"Yes")</f>
        <v/>
      </c>
      <c r="D76" s="19">
        <f>COUNTIFS(Isolates!$AA$2:$AA$128,"*IncI2*",Isolates!$O$2:$O$128,D$75,Isolates!$AG$2:$AG$128,"Yes")</f>
        <v/>
      </c>
      <c r="E76" s="19">
        <f>COUNTIFS(Isolates!$AA$2:$AA$128,"*IncI2*",Isolates!$O$2:$O$128,E$75,Isolates!$AG$2:$AG$128,"Yes")</f>
        <v/>
      </c>
      <c r="F76" s="19">
        <f>COUNTIFS(Isolates!$AA$2:$AA$128,"*IncI2*",Isolates!$O$2:$O$128,F$75,Isolates!$AG$2:$AG$128,"Yes")</f>
        <v/>
      </c>
      <c r="G76" s="19">
        <f>COUNTIFS(Isolates!$AA$2:$AA$128,"*IncI2*",Isolates!$O$2:$O$128,G$75,Isolates!$AG$2:$AG$128,"Yes")</f>
        <v/>
      </c>
      <c r="H76" s="19">
        <f>SUM(B76:G76)</f>
        <v/>
      </c>
    </row>
    <row r="77">
      <c r="A77" s="19" t="inlineStr">
        <is>
          <t>IncX4</t>
        </is>
      </c>
      <c r="B77" s="19">
        <f>COUNTIFS(Isolates!$AA$2:$AA$128,"*IncX4*",Isolates!$O$2:$O$128,B$75,Isolates!$AG$2:$AG$128,"Yes")</f>
        <v/>
      </c>
      <c r="C77" s="19">
        <f>COUNTIFS(Isolates!$AA$2:$AA$128,"*IncX4*",Isolates!$O$2:$O$128,C$75,Isolates!$AG$2:$AG$128,"Yes")</f>
        <v/>
      </c>
      <c r="D77" s="19">
        <f>COUNTIFS(Isolates!$AA$2:$AA$128,"*IncX4*",Isolates!$O$2:$O$128,D$75,Isolates!$AG$2:$AG$128,"Yes")</f>
        <v/>
      </c>
      <c r="E77" s="19">
        <f>COUNTIFS(Isolates!$AA$2:$AA$128,"*IncX4*",Isolates!$O$2:$O$128,E$75,Isolates!$AG$2:$AG$128,"Yes")</f>
        <v/>
      </c>
      <c r="F77" s="19">
        <f>COUNTIFS(Isolates!$AA$2:$AA$128,"*IncX4*",Isolates!$O$2:$O$128,F$75,Isolates!$AG$2:$AG$128,"Yes")</f>
        <v/>
      </c>
      <c r="G77" s="19">
        <f>COUNTIFS(Isolates!$AA$2:$AA$128,"*IncX4*",Isolates!$O$2:$O$128,G$75,Isolates!$AG$2:$AG$128,"Yes")</f>
        <v/>
      </c>
      <c r="H77" s="19">
        <f>SUM(B77:G77)</f>
        <v/>
      </c>
    </row>
    <row r="78">
      <c r="A78" s="19" t="inlineStr">
        <is>
          <t>IncHI2</t>
        </is>
      </c>
      <c r="B78" s="19">
        <f>COUNTIFS(Isolates!$AA$2:$AA$128,"*IncHI2*",Isolates!$O$2:$O$128,B$75,Isolates!$AG$2:$AG$128,"Yes")</f>
        <v/>
      </c>
      <c r="C78" s="19">
        <f>COUNTIFS(Isolates!$AA$2:$AA$128,"*IncHI2*",Isolates!$O$2:$O$128,C$75,Isolates!$AG$2:$AG$128,"Yes")</f>
        <v/>
      </c>
      <c r="D78" s="19">
        <f>COUNTIFS(Isolates!$AA$2:$AA$128,"*IncHI2*",Isolates!$O$2:$O$128,D$75,Isolates!$AG$2:$AG$128,"Yes")</f>
        <v/>
      </c>
      <c r="E78" s="19">
        <f>COUNTIFS(Isolates!$AA$2:$AA$128,"*IncHI2*",Isolates!$O$2:$O$128,E$75,Isolates!$AG$2:$AG$128,"Yes")</f>
        <v/>
      </c>
      <c r="F78" s="19">
        <f>COUNTIFS(Isolates!$AA$2:$AA$128,"*IncHI2*",Isolates!$O$2:$O$128,F$75,Isolates!$AG$2:$AG$128,"Yes")</f>
        <v/>
      </c>
      <c r="G78" s="19">
        <f>COUNTIFS(Isolates!$AA$2:$AA$128,"*IncHI2*",Isolates!$O$2:$O$128,G$75,Isolates!$AG$2:$AG$128,"Yes")</f>
        <v/>
      </c>
      <c r="H78" s="19">
        <f>SUM(B78:G78)</f>
        <v/>
      </c>
    </row>
    <row r="79">
      <c r="A79" s="19" t="inlineStr">
        <is>
          <t>IncHI1</t>
        </is>
      </c>
      <c r="B79" s="19">
        <f>COUNTIFS(Isolates!$AA$2:$AA$128,"*IncHI1*",Isolates!$O$2:$O$128,B$75,Isolates!$AG$2:$AG$128,"Yes")</f>
        <v/>
      </c>
      <c r="C79" s="19">
        <f>COUNTIFS(Isolates!$AA$2:$AA$128,"*IncHI1*",Isolates!$O$2:$O$128,C$75,Isolates!$AG$2:$AG$128,"Yes")</f>
        <v/>
      </c>
      <c r="D79" s="19">
        <f>COUNTIFS(Isolates!$AA$2:$AA$128,"*IncHI1*",Isolates!$O$2:$O$128,D$75,Isolates!$AG$2:$AG$128,"Yes")</f>
        <v/>
      </c>
      <c r="E79" s="19">
        <f>COUNTIFS(Isolates!$AA$2:$AA$128,"*IncHI1*",Isolates!$O$2:$O$128,E$75,Isolates!$AG$2:$AG$128,"Yes")</f>
        <v/>
      </c>
      <c r="F79" s="19">
        <f>COUNTIFS(Isolates!$AA$2:$AA$128,"*IncHI1*",Isolates!$O$2:$O$128,F$75,Isolates!$AG$2:$AG$128,"Yes")</f>
        <v/>
      </c>
      <c r="G79" s="19">
        <f>COUNTIFS(Isolates!$AA$2:$AA$128,"*IncHI1*",Isolates!$O$2:$O$128,G$75,Isolates!$AG$2:$AG$128,"Yes")</f>
        <v/>
      </c>
      <c r="H79" s="19">
        <f>SUM(B79:G79)</f>
        <v/>
      </c>
    </row>
    <row r="80">
      <c r="A80" s="19" t="inlineStr">
        <is>
          <t>IncF (FII/FIB/FIA)</t>
        </is>
      </c>
      <c r="B80" s="19">
        <f>COUNTIFS(Isolates!$AA$2:$AA$128,"*IncF*",Isolates!$O$2:$O$128,B$75,Isolates!$AG$2:$AG$128,"Yes")</f>
        <v/>
      </c>
      <c r="C80" s="19">
        <f>COUNTIFS(Isolates!$AA$2:$AA$128,"*IncF*",Isolates!$O$2:$O$128,C$75,Isolates!$AG$2:$AG$128,"Yes")</f>
        <v/>
      </c>
      <c r="D80" s="19">
        <f>COUNTIFS(Isolates!$AA$2:$AA$128,"*IncF*",Isolates!$O$2:$O$128,D$75,Isolates!$AG$2:$AG$128,"Yes")</f>
        <v/>
      </c>
      <c r="E80" s="19">
        <f>COUNTIFS(Isolates!$AA$2:$AA$128,"*IncF*",Isolates!$O$2:$O$128,E$75,Isolates!$AG$2:$AG$128,"Yes")</f>
        <v/>
      </c>
      <c r="F80" s="19">
        <f>COUNTIFS(Isolates!$AA$2:$AA$128,"*IncF*",Isolates!$O$2:$O$128,F$75,Isolates!$AG$2:$AG$128,"Yes")</f>
        <v/>
      </c>
      <c r="G80" s="19">
        <f>COUNTIFS(Isolates!$AA$2:$AA$128,"*IncF*",Isolates!$O$2:$O$128,G$75,Isolates!$AG$2:$AG$128,"Yes")</f>
        <v/>
      </c>
      <c r="H80" s="19">
        <f>SUM(B80:G80)</f>
        <v/>
      </c>
    </row>
    <row r="81">
      <c r="A81" s="19" t="inlineStr">
        <is>
          <t>Other rep cluster (no Inc type)</t>
        </is>
      </c>
      <c r="B81" s="19">
        <f>COUNTIFS(Isolates!$AA$2:$AA$128,"rep_cluster*",Isolates!$O$2:$O$128,B$75,Isolates!$AG$2:$AG$128,"Yes")</f>
        <v/>
      </c>
      <c r="C81" s="19">
        <f>COUNTIFS(Isolates!$AA$2:$AA$128,"rep_cluster*",Isolates!$O$2:$O$128,C$75,Isolates!$AG$2:$AG$128,"Yes")</f>
        <v/>
      </c>
      <c r="D81" s="19">
        <f>COUNTIFS(Isolates!$AA$2:$AA$128,"rep_cluster*",Isolates!$O$2:$O$128,D$75,Isolates!$AG$2:$AG$128,"Yes")</f>
        <v/>
      </c>
      <c r="E81" s="19">
        <f>COUNTIFS(Isolates!$AA$2:$AA$128,"rep_cluster*",Isolates!$O$2:$O$128,E$75,Isolates!$AG$2:$AG$128,"Yes")</f>
        <v/>
      </c>
      <c r="F81" s="19">
        <f>COUNTIFS(Isolates!$AA$2:$AA$128,"rep_cluster*",Isolates!$O$2:$O$128,F$75,Isolates!$AG$2:$AG$128,"Yes")</f>
        <v/>
      </c>
      <c r="G81" s="19">
        <f>COUNTIFS(Isolates!$AA$2:$AA$128,"rep_cluster*",Isolates!$O$2:$O$128,G$75,Isolates!$AG$2:$AG$128,"Yes")</f>
        <v/>
      </c>
      <c r="H81" s="19">
        <f>SUM(B81:G81)</f>
        <v/>
      </c>
    </row>
    <row r="82">
      <c r="A82" s="19" t="inlineStr">
        <is>
          <t>Plasmid, no replicon detected</t>
        </is>
      </c>
      <c r="B82" s="19">
        <f>COUNTIFS(Isolates!$AA$2:$AA$128,"Plasmid, no replicon*",Isolates!$O$2:$O$128,B$75,Isolates!$AG$2:$AG$128,"Yes")</f>
        <v/>
      </c>
      <c r="C82" s="19">
        <f>COUNTIFS(Isolates!$AA$2:$AA$128,"Plasmid, no replicon*",Isolates!$O$2:$O$128,C$75,Isolates!$AG$2:$AG$128,"Yes")</f>
        <v/>
      </c>
      <c r="D82" s="19">
        <f>COUNTIFS(Isolates!$AA$2:$AA$128,"Plasmid, no replicon*",Isolates!$O$2:$O$128,D$75,Isolates!$AG$2:$AG$128,"Yes")</f>
        <v/>
      </c>
      <c r="E82" s="19">
        <f>COUNTIFS(Isolates!$AA$2:$AA$128,"Plasmid, no replicon*",Isolates!$O$2:$O$128,E$75,Isolates!$AG$2:$AG$128,"Yes")</f>
        <v/>
      </c>
      <c r="F82" s="19">
        <f>COUNTIFS(Isolates!$AA$2:$AA$128,"Plasmid, no replicon*",Isolates!$O$2:$O$128,F$75,Isolates!$AG$2:$AG$128,"Yes")</f>
        <v/>
      </c>
      <c r="G82" s="19">
        <f>COUNTIFS(Isolates!$AA$2:$AA$128,"Plasmid, no replicon*",Isolates!$O$2:$O$128,G$75,Isolates!$AG$2:$AG$128,"Yes")</f>
        <v/>
      </c>
      <c r="H82" s="19">
        <f>SUM(B82:G82)</f>
        <v/>
      </c>
    </row>
    <row r="83">
      <c r="A83" s="19" t="inlineStr">
        <is>
          <t>Chromosomal or unresolved</t>
        </is>
      </c>
      <c r="B83" s="19">
        <f>COUNTIFS(Isolates!$AA$2:$AA$128,"Chromosomal*",Isolates!$O$2:$O$128,B$75,Isolates!$AG$2:$AG$128,"Yes")</f>
        <v/>
      </c>
      <c r="C83" s="19">
        <f>COUNTIFS(Isolates!$AA$2:$AA$128,"Chromosomal*",Isolates!$O$2:$O$128,C$75,Isolates!$AG$2:$AG$128,"Yes")</f>
        <v/>
      </c>
      <c r="D83" s="19">
        <f>COUNTIFS(Isolates!$AA$2:$AA$128,"Chromosomal*",Isolates!$O$2:$O$128,D$75,Isolates!$AG$2:$AG$128,"Yes")</f>
        <v/>
      </c>
      <c r="E83" s="19">
        <f>COUNTIFS(Isolates!$AA$2:$AA$128,"Chromosomal*",Isolates!$O$2:$O$128,E$75,Isolates!$AG$2:$AG$128,"Yes")</f>
        <v/>
      </c>
      <c r="F83" s="19">
        <f>COUNTIFS(Isolates!$AA$2:$AA$128,"Chromosomal*",Isolates!$O$2:$O$128,F$75,Isolates!$AG$2:$AG$128,"Yes")</f>
        <v/>
      </c>
      <c r="G83" s="19">
        <f>COUNTIFS(Isolates!$AA$2:$AA$128,"Chromosomal*",Isolates!$O$2:$O$128,G$75,Isolates!$AG$2:$AG$128,"Yes")</f>
        <v/>
      </c>
      <c r="H83" s="19">
        <f>SUM(B83:G83)</f>
        <v/>
      </c>
    </row>
    <row r="84"/>
    <row r="85">
      <c r="A85" s="19" t="inlineStr">
        <is>
          <t>Note: ST and replicon columns were filled from the Galaxy_results sheet. Rows beyond genome 118 were added by the corrected retrieval in v2 and typed in the Galaxy history "mcr Africa D typing".</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AH12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5" customWidth="1" style="19" min="1" max="2"/>
    <col width="13" customWidth="1" style="19" min="3" max="3"/>
    <col width="17" customWidth="1" style="19" min="4" max="4"/>
    <col width="22" customWidth="1" style="19" min="5" max="5"/>
    <col width="20" customWidth="1" style="19" min="6" max="6"/>
    <col width="26" customWidth="1" style="19" min="7" max="7"/>
    <col width="15" customWidth="1" style="19" min="8" max="8"/>
    <col width="11" customWidth="1" style="19" min="9" max="9"/>
    <col width="16" customWidth="1" style="19" min="10" max="10"/>
    <col width="7" customWidth="1" style="19" min="11" max="11"/>
    <col width="14" customWidth="1" style="19" min="12" max="12"/>
    <col width="20" customWidth="1" style="19" min="13" max="13"/>
    <col width="24" customWidth="1" style="19" min="14" max="14"/>
    <col width="17" customWidth="1" style="19" min="15" max="15"/>
    <col width="24" customWidth="1" style="19" min="16" max="16"/>
    <col width="16" customWidth="1" style="19" min="17" max="18"/>
    <col width="8" customWidth="1" style="19" min="19" max="19"/>
    <col width="15" customWidth="1" style="19" min="20" max="20"/>
    <col width="16" customWidth="1" style="19" min="21" max="21"/>
    <col width="12" customWidth="1" style="19" min="22" max="22"/>
    <col width="9" customWidth="1" style="19" min="23" max="23"/>
    <col width="10" customWidth="1" style="19" min="24" max="24"/>
    <col width="70" customWidth="1" style="19" min="25" max="25"/>
    <col width="14" customWidth="1" style="19" min="26" max="26"/>
    <col width="40" customWidth="1" style="19" min="27" max="28"/>
    <col width="14" customWidth="1" style="19" min="29" max="29"/>
  </cols>
  <sheetData>
    <row r="1" ht="45" customHeight="1" s="20">
      <c r="A1" s="30" t="inlineStr">
        <is>
          <t>PD target</t>
        </is>
      </c>
      <c r="B1" s="30" t="inlineStr">
        <is>
          <t>BioSample</t>
        </is>
      </c>
      <c r="C1" s="30" t="inlineStr">
        <is>
          <t>BioProject</t>
        </is>
      </c>
      <c r="D1" s="30" t="inlineStr">
        <is>
          <t>Assembly (GCA)</t>
        </is>
      </c>
      <c r="E1" s="30" t="inlineStr">
        <is>
          <t>SRA Illumina PE run(s)</t>
        </is>
      </c>
      <c r="F1" s="30" t="inlineStr">
        <is>
          <t>Long-read run(s)</t>
        </is>
      </c>
      <c r="G1" s="30" t="inlineStr">
        <is>
          <t>Recommended Galaxy input</t>
        </is>
      </c>
      <c r="H1" s="30" t="inlineStr">
        <is>
          <t>Strain</t>
        </is>
      </c>
      <c r="I1" s="30" t="inlineStr">
        <is>
          <t>Country</t>
        </is>
      </c>
      <c r="J1" s="30" t="inlineStr">
        <is>
          <t>Sub-national location</t>
        </is>
      </c>
      <c r="K1" s="30" t="inlineStr">
        <is>
          <t>Year</t>
        </is>
      </c>
      <c r="L1" s="30" t="inlineStr">
        <is>
          <t>Collection date (as submitted)</t>
        </is>
      </c>
      <c r="M1" s="30" t="inlineStr">
        <is>
          <t>Host (as submitted)</t>
        </is>
      </c>
      <c r="N1" s="30" t="inlineStr">
        <is>
          <t>Isolation source (as submitted)</t>
        </is>
      </c>
      <c r="O1" s="30" t="inlineStr">
        <is>
          <t>Sector (derived)</t>
        </is>
      </c>
      <c r="P1" s="30" t="inlineStr">
        <is>
          <t>Poultry niche (derived)</t>
        </is>
      </c>
      <c r="Q1" s="30" t="inlineStr">
        <is>
          <t>PD epi_type</t>
        </is>
      </c>
      <c r="R1" s="30" t="inlineStr">
        <is>
          <t>mcr variant(s)</t>
        </is>
      </c>
      <c r="S1" s="30" t="inlineStr">
        <is>
          <t>&gt;1 mcr call</t>
        </is>
      </c>
      <c r="T1" s="30" t="inlineStr">
        <is>
          <t>CTX-M allele(s)</t>
        </is>
      </c>
      <c r="U1" s="30" t="inlineStr">
        <is>
          <t>Carbapenemase gene(s)</t>
        </is>
      </c>
      <c r="V1" s="30" t="inlineStr">
        <is>
          <t>pmrB mutation(s)</t>
        </is>
      </c>
      <c r="W1" s="30" t="inlineStr">
        <is>
          <t>Contigs (PD assembly)</t>
        </is>
      </c>
      <c r="X1" s="30" t="inlineStr">
        <is>
          <t>No. acquired AMR genes</t>
        </is>
      </c>
      <c r="Y1" s="30" t="inlineStr">
        <is>
          <t>AMRFinderPlus genotype (PD, intrinsic genes removed)</t>
        </is>
      </c>
      <c r="Z1" s="30" t="inlineStr">
        <is>
          <t>ST (Achtman) - to fill</t>
        </is>
      </c>
      <c r="AA1" s="30" t="inlineStr">
        <is>
          <t>Plasmid replicon carrying mcr - to fill</t>
        </is>
      </c>
      <c r="AB1" s="30" t="inlineStr">
        <is>
          <t>Notes - to fill</t>
        </is>
      </c>
      <c r="AC1" s="30" t="inlineStr">
        <is>
          <t>mcr key (helper)</t>
        </is>
      </c>
      <c r="AD1" s="19" t="inlineStr">
        <is>
          <t>CheckM2 completeness (%)</t>
        </is>
      </c>
      <c r="AE1" s="19" t="inlineStr">
        <is>
          <t>CheckM2 contamination (%)</t>
        </is>
      </c>
      <c r="AF1" s="19" t="inlineStr">
        <is>
          <t>IS30-family element on mcr contig</t>
        </is>
      </c>
      <c r="AG1" s="37" t="inlineStr">
        <is>
          <t>Included in analysis</t>
        </is>
      </c>
      <c r="AH1" s="37" t="inlineStr">
        <is>
          <t>Reason for exclusion</t>
        </is>
      </c>
    </row>
    <row r="2" ht="15" customHeight="1" s="20">
      <c r="A2" s="25" t="inlineStr">
        <is>
          <t>PDT003403345.1</t>
        </is>
      </c>
      <c r="B2" s="25" t="inlineStr">
        <is>
          <t>SAMEA123453495</t>
        </is>
      </c>
      <c r="C2" s="25" t="inlineStr">
        <is>
          <t>PRJEB126541</t>
        </is>
      </c>
      <c r="D2" s="25" t="inlineStr">
        <is>
          <t>GCA_988286365.1</t>
        </is>
      </c>
      <c r="E2" s="25" t="n"/>
      <c r="F2" s="25" t="n"/>
      <c r="G2" s="25" t="inlineStr">
        <is>
          <t>GenBank assembly (no reads)</t>
        </is>
      </c>
      <c r="H2" s="25" t="n"/>
      <c r="I2" s="25" t="inlineStr">
        <is>
          <t>Algeria</t>
        </is>
      </c>
      <c r="J2" s="25" t="n"/>
      <c r="K2" s="25" t="inlineStr">
        <is>
          <t>2025</t>
        </is>
      </c>
      <c r="L2" s="25" t="inlineStr">
        <is>
          <t>2025</t>
        </is>
      </c>
      <c r="M2" s="25" t="n"/>
      <c r="N2" s="25" t="n"/>
      <c r="O2" s="25" t="inlineStr">
        <is>
          <t>Unspecified</t>
        </is>
      </c>
      <c r="P2" s="25" t="n"/>
      <c r="Q2" s="25" t="n"/>
      <c r="R2" s="25" t="inlineStr">
        <is>
          <t>mcr-1.1</t>
        </is>
      </c>
      <c r="S2" s="25" t="n"/>
      <c r="T2" s="25" t="n"/>
      <c r="U2" s="25" t="n"/>
      <c r="V2" s="25" t="n"/>
      <c r="W2" s="25" t="n">
        <v>10</v>
      </c>
      <c r="X2" s="25" t="n">
        <v>15</v>
      </c>
      <c r="Y2" s="25" t="inlineStr">
        <is>
          <t>aadA1 aadA2 ant(3'')-Ia aph(3')-Ia blaTEM-1 cmlA1 dfrA12 floR fosA4 gyrA_D87N gyrA_S83L lnu(F) mcr-1.1 mph(A) parC_S80I parE_S458A qnrS1 sul3 tet(A)</t>
        </is>
      </c>
      <c r="Z2" s="31" t="n">
        <v>410</v>
      </c>
      <c r="AA2" s="31" t="inlineStr">
        <is>
          <t>IncI2</t>
        </is>
      </c>
      <c r="AB2" s="31" t="inlineStr">
        <is>
          <t>Assembly not in NCBI Datasets; downloaded from ENA (10 contigs, 5.36 Mb).</t>
        </is>
      </c>
      <c r="AC2" s="25" t="inlineStr">
        <is>
          <t>|mcr-1.1|</t>
        </is>
      </c>
      <c r="AD2" s="19" t="n">
        <v>100</v>
      </c>
      <c r="AE2" s="19" t="n">
        <v>0.1</v>
      </c>
      <c r="AF2" s="19" t="inlineStr">
        <is>
          <t>no</t>
        </is>
      </c>
      <c r="AG2" s="19" t="inlineStr">
        <is>
          <t>Yes</t>
        </is>
      </c>
    </row>
    <row r="3" ht="15" customHeight="1" s="20">
      <c r="A3" s="25" t="inlineStr">
        <is>
          <t>PDT003351203.1</t>
        </is>
      </c>
      <c r="B3" s="25" t="inlineStr">
        <is>
          <t>SAMEA115598817</t>
        </is>
      </c>
      <c r="C3" s="25" t="inlineStr">
        <is>
          <t>PRJEB71867</t>
        </is>
      </c>
      <c r="D3" s="25" t="n"/>
      <c r="E3" s="25" t="inlineStr">
        <is>
          <t>ERR13133321</t>
        </is>
      </c>
      <c r="F3" s="25" t="n"/>
      <c r="G3" s="25" t="inlineStr">
        <is>
          <t>SRA Illumina PE reads</t>
        </is>
      </c>
      <c r="H3" s="25" t="n"/>
      <c r="I3" s="25" t="inlineStr">
        <is>
          <t>Egypt</t>
        </is>
      </c>
      <c r="J3" s="25" t="n"/>
      <c r="K3" s="25" t="inlineStr">
        <is>
          <t>2019</t>
        </is>
      </c>
      <c r="L3" s="25" t="inlineStr">
        <is>
          <t>2019</t>
        </is>
      </c>
      <c r="M3" s="25" t="inlineStr">
        <is>
          <t>Homo sapiens</t>
        </is>
      </c>
      <c r="N3" s="25" t="inlineStr">
        <is>
          <t>human</t>
        </is>
      </c>
      <c r="O3" s="25" t="inlineStr">
        <is>
          <t>Human</t>
        </is>
      </c>
      <c r="P3" s="25" t="n"/>
      <c r="Q3" s="25" t="inlineStr">
        <is>
          <t>clinical</t>
        </is>
      </c>
      <c r="R3" s="25" t="inlineStr">
        <is>
          <t>mcr-1.1</t>
        </is>
      </c>
      <c r="S3" s="25" t="n"/>
      <c r="T3" s="25" t="inlineStr">
        <is>
          <t>blaCTX-M-14</t>
        </is>
      </c>
      <c r="U3" s="25" t="inlineStr">
        <is>
          <t>blaOXA-48</t>
        </is>
      </c>
      <c r="V3" s="25" t="n"/>
      <c r="W3" s="25" t="n">
        <v>160</v>
      </c>
      <c r="X3" s="25" t="n">
        <v>9</v>
      </c>
      <c r="Y3" s="25" t="inlineStr">
        <is>
          <t>aac(3)-IId aph(3'')-Ib aph(6)-Id blaCTX-M-14 blaOXA-48 blaTEM-1 gyrA_D87N gyrA_S83L mcr-1.1 mph(A) parC_S80I parE_S458A tet(A) uhpT_E350Q</t>
        </is>
      </c>
      <c r="Z3" s="31" t="n">
        <v>1196</v>
      </c>
      <c r="AA3" s="31" t="inlineStr">
        <is>
          <t>IncX4</t>
        </is>
      </c>
      <c r="AB3" s="31" t="n"/>
      <c r="AC3" s="25" t="inlineStr">
        <is>
          <t>|mcr-1.1|</t>
        </is>
      </c>
      <c r="AD3" s="19" t="n">
        <v>100</v>
      </c>
      <c r="AE3" s="19" t="n">
        <v>0.16</v>
      </c>
      <c r="AF3" s="19" t="inlineStr">
        <is>
          <t>no</t>
        </is>
      </c>
      <c r="AG3" s="19" t="inlineStr">
        <is>
          <t>Yes</t>
        </is>
      </c>
    </row>
    <row r="4" ht="15" customHeight="1" s="20">
      <c r="A4" s="25" t="inlineStr">
        <is>
          <t>PDT003351163.1</t>
        </is>
      </c>
      <c r="B4" s="25" t="inlineStr">
        <is>
          <t>SAMEA115598777</t>
        </is>
      </c>
      <c r="C4" s="25" t="inlineStr">
        <is>
          <t>PRJEB71867</t>
        </is>
      </c>
      <c r="D4" s="25" t="n"/>
      <c r="E4" s="25" t="inlineStr">
        <is>
          <t>ERR13133281</t>
        </is>
      </c>
      <c r="F4" s="25" t="n"/>
      <c r="G4" s="25" t="inlineStr">
        <is>
          <t>SRA Illumina PE reads</t>
        </is>
      </c>
      <c r="H4" s="25" t="n"/>
      <c r="I4" s="25" t="inlineStr">
        <is>
          <t>Egypt</t>
        </is>
      </c>
      <c r="J4" s="25" t="n"/>
      <c r="K4" s="25" t="inlineStr">
        <is>
          <t>2019</t>
        </is>
      </c>
      <c r="L4" s="25" t="inlineStr">
        <is>
          <t>2019</t>
        </is>
      </c>
      <c r="M4" s="25" t="inlineStr">
        <is>
          <t>Homo sapiens</t>
        </is>
      </c>
      <c r="N4" s="25" t="inlineStr">
        <is>
          <t>human</t>
        </is>
      </c>
      <c r="O4" s="25" t="inlineStr">
        <is>
          <t>Human</t>
        </is>
      </c>
      <c r="P4" s="25" t="n"/>
      <c r="Q4" s="25" t="inlineStr">
        <is>
          <t>clinical</t>
        </is>
      </c>
      <c r="R4" s="25" t="inlineStr">
        <is>
          <t>mcr-1.1</t>
        </is>
      </c>
      <c r="S4" s="25" t="n"/>
      <c r="T4" s="25" t="inlineStr">
        <is>
          <t>blaCTX-M-15</t>
        </is>
      </c>
      <c r="U4" s="25" t="n"/>
      <c r="V4" s="25" t="n"/>
      <c r="W4" s="25" t="n">
        <v>203</v>
      </c>
      <c r="X4" s="25" t="n">
        <v>11</v>
      </c>
      <c r="Y4" s="25" t="inlineStr">
        <is>
          <t>aac(3)-IIe aadA22 aadA5 blaCTX-M-15 blaTEM-1 dfrA17 erm(B) floR gyrA_D87N gyrA_S83L mcr-1.1 mph(A) nfsA_Q72Ter parC_S80I sul1</t>
        </is>
      </c>
      <c r="Z4" s="31" t="n">
        <v>359</v>
      </c>
      <c r="AA4" s="31" t="inlineStr">
        <is>
          <t>Chromosomal or unresolved (MOB-Recon)</t>
        </is>
      </c>
      <c r="AB4" s="31" t="inlineStr">
        <is>
          <t>mcr contig only 2,750 bp; bin assignment is tentative.</t>
        </is>
      </c>
      <c r="AC4" s="25" t="inlineStr">
        <is>
          <t>|mcr-1.1|</t>
        </is>
      </c>
      <c r="AD4" s="19" t="n">
        <v>100</v>
      </c>
      <c r="AE4" s="19" t="n">
        <v>0.29</v>
      </c>
      <c r="AF4" s="19" t="inlineStr">
        <is>
          <t>no</t>
        </is>
      </c>
      <c r="AG4" s="19" t="inlineStr">
        <is>
          <t>Yes</t>
        </is>
      </c>
    </row>
    <row r="5" ht="15" customHeight="1" s="20">
      <c r="A5" s="25" t="inlineStr">
        <is>
          <t>PDT003185044.1</t>
        </is>
      </c>
      <c r="B5" s="25" t="inlineStr">
        <is>
          <t>SAMN54240895</t>
        </is>
      </c>
      <c r="C5" s="25" t="inlineStr">
        <is>
          <t>PRJNA1392031</t>
        </is>
      </c>
      <c r="D5" s="25" t="inlineStr">
        <is>
          <t>GCA_056837985.1</t>
        </is>
      </c>
      <c r="E5" s="25" t="n"/>
      <c r="F5" s="25" t="n"/>
      <c r="G5" s="25" t="inlineStr">
        <is>
          <t>GenBank assembly (no reads)</t>
        </is>
      </c>
      <c r="H5" s="25" t="inlineStr">
        <is>
          <t>Eco_70233</t>
        </is>
      </c>
      <c r="I5" s="25" t="inlineStr">
        <is>
          <t>Tunisia</t>
        </is>
      </c>
      <c r="J5" s="25" t="inlineStr">
        <is>
          <t>Tunis</t>
        </is>
      </c>
      <c r="K5" s="25" t="inlineStr">
        <is>
          <t>2025</t>
        </is>
      </c>
      <c r="L5" s="25" t="inlineStr">
        <is>
          <t>2025-02-26</t>
        </is>
      </c>
      <c r="M5" s="25" t="inlineStr">
        <is>
          <t>Homo sapiens</t>
        </is>
      </c>
      <c r="N5" s="25" t="n"/>
      <c r="O5" s="25" t="inlineStr">
        <is>
          <t>Human</t>
        </is>
      </c>
      <c r="P5" s="25" t="n"/>
      <c r="Q5" s="25" t="inlineStr">
        <is>
          <t>clinical</t>
        </is>
      </c>
      <c r="R5" s="25" t="inlineStr">
        <is>
          <t>mcr-1.1</t>
        </is>
      </c>
      <c r="S5" s="25" t="n"/>
      <c r="T5" s="25" t="n"/>
      <c r="U5" s="25" t="n"/>
      <c r="V5" s="25" t="n"/>
      <c r="W5" s="25" t="n">
        <v>6</v>
      </c>
      <c r="X5" s="25" t="n">
        <v>8</v>
      </c>
      <c r="Y5" s="25" t="inlineStr">
        <is>
          <t>aadA2 blaTEM-1 dfrA12 floR gyrA_D87N gyrA_S83L mcr-1.1 mph(A) ompF_W83Ter parC_S80I sul1 tet(A)</t>
        </is>
      </c>
      <c r="Z5" s="31" t="n">
        <v>1011</v>
      </c>
      <c r="AA5" s="31" t="inlineStr">
        <is>
          <t>IncX4</t>
        </is>
      </c>
      <c r="AB5" s="31" t="n"/>
      <c r="AC5" s="25" t="inlineStr">
        <is>
          <t>|mcr-1.1|</t>
        </is>
      </c>
      <c r="AD5" s="19" t="n">
        <v>100</v>
      </c>
      <c r="AE5" s="19" t="n">
        <v>0.73</v>
      </c>
      <c r="AF5" s="19" t="inlineStr">
        <is>
          <t>no</t>
        </is>
      </c>
      <c r="AG5" s="19" t="inlineStr">
        <is>
          <t>Yes</t>
        </is>
      </c>
    </row>
    <row r="6" ht="15" customHeight="1" s="20">
      <c r="A6" s="25" t="inlineStr">
        <is>
          <t>PDT003185043.1</t>
        </is>
      </c>
      <c r="B6" s="25" t="inlineStr">
        <is>
          <t>SAMN54240896</t>
        </is>
      </c>
      <c r="C6" s="25" t="inlineStr">
        <is>
          <t>PRJNA1392031</t>
        </is>
      </c>
      <c r="D6" s="25" t="inlineStr">
        <is>
          <t>GCA_056837925.1</t>
        </is>
      </c>
      <c r="E6" s="25" t="n"/>
      <c r="F6" s="25" t="n"/>
      <c r="G6" s="25" t="inlineStr">
        <is>
          <t>GenBank assembly (no reads)</t>
        </is>
      </c>
      <c r="H6" s="25" t="inlineStr">
        <is>
          <t>Eco_70234</t>
        </is>
      </c>
      <c r="I6" s="25" t="inlineStr">
        <is>
          <t>Tunisia</t>
        </is>
      </c>
      <c r="J6" s="25" t="inlineStr">
        <is>
          <t>Tunis</t>
        </is>
      </c>
      <c r="K6" s="25" t="inlineStr">
        <is>
          <t>2025</t>
        </is>
      </c>
      <c r="L6" s="25" t="inlineStr">
        <is>
          <t>2025-03-26</t>
        </is>
      </c>
      <c r="M6" s="25" t="inlineStr">
        <is>
          <t>Homo sapiens</t>
        </is>
      </c>
      <c r="N6" s="25" t="n"/>
      <c r="O6" s="25" t="inlineStr">
        <is>
          <t>Human</t>
        </is>
      </c>
      <c r="P6" s="25" t="n"/>
      <c r="Q6" s="25" t="inlineStr">
        <is>
          <t>clinical</t>
        </is>
      </c>
      <c r="R6" s="25" t="inlineStr">
        <is>
          <t>mcr-1.1</t>
        </is>
      </c>
      <c r="S6" s="25" t="n"/>
      <c r="T6" s="25" t="n"/>
      <c r="U6" s="25" t="n"/>
      <c r="V6" s="25" t="n"/>
      <c r="W6" s="25" t="n">
        <v>4</v>
      </c>
      <c r="X6" s="25" t="n">
        <v>10</v>
      </c>
      <c r="Y6" s="25" t="inlineStr">
        <is>
          <t>acrR_E190RfsTer20 aph(3'')-Ib aph(3')-Ia aph(6)-Id blaTEM-1 dfrA14 gyrA_D87N gyrA_S83L mcr-1.1 mph(A) parC_S80I parE_S458A qnrS1 sul2 tet(A)</t>
        </is>
      </c>
      <c r="Z6" s="31" t="n">
        <v>167</v>
      </c>
      <c r="AA6" s="31" t="inlineStr">
        <is>
          <t>IncX4</t>
        </is>
      </c>
      <c r="AB6" s="31" t="n"/>
      <c r="AC6" s="25" t="inlineStr">
        <is>
          <t>|mcr-1.1|</t>
        </is>
      </c>
      <c r="AD6" s="19" t="n">
        <v>100</v>
      </c>
      <c r="AE6" s="19" t="n">
        <v>0.34</v>
      </c>
      <c r="AF6" s="19" t="inlineStr">
        <is>
          <t>no</t>
        </is>
      </c>
      <c r="AG6" s="19" t="inlineStr">
        <is>
          <t>Yes</t>
        </is>
      </c>
    </row>
    <row r="7" ht="15" customHeight="1" s="20">
      <c r="A7" s="25" t="inlineStr">
        <is>
          <t>PDT003185042.1</t>
        </is>
      </c>
      <c r="B7" s="25" t="inlineStr">
        <is>
          <t>SAMN54240897</t>
        </is>
      </c>
      <c r="C7" s="25" t="inlineStr">
        <is>
          <t>PRJNA1392031</t>
        </is>
      </c>
      <c r="D7" s="25" t="inlineStr">
        <is>
          <t>GCA_056837905.1</t>
        </is>
      </c>
      <c r="E7" s="25" t="n"/>
      <c r="F7" s="25" t="n"/>
      <c r="G7" s="25" t="inlineStr">
        <is>
          <t>GenBank assembly (no reads)</t>
        </is>
      </c>
      <c r="H7" s="25" t="inlineStr">
        <is>
          <t>Eco_70237</t>
        </is>
      </c>
      <c r="I7" s="25" t="inlineStr">
        <is>
          <t>Tunisia</t>
        </is>
      </c>
      <c r="J7" s="25" t="inlineStr">
        <is>
          <t>Tunis</t>
        </is>
      </c>
      <c r="K7" s="25" t="inlineStr">
        <is>
          <t>2023</t>
        </is>
      </c>
      <c r="L7" s="25" t="inlineStr">
        <is>
          <t>2023-08-15</t>
        </is>
      </c>
      <c r="M7" s="25" t="inlineStr">
        <is>
          <t>Homo sapiens</t>
        </is>
      </c>
      <c r="N7" s="25" t="n"/>
      <c r="O7" s="25" t="inlineStr">
        <is>
          <t>Human</t>
        </is>
      </c>
      <c r="P7" s="25" t="n"/>
      <c r="Q7" s="25" t="inlineStr">
        <is>
          <t>clinical</t>
        </is>
      </c>
      <c r="R7" s="25" t="inlineStr">
        <is>
          <t>mcr-1.1</t>
        </is>
      </c>
      <c r="S7" s="25" t="n"/>
      <c r="T7" s="25" t="inlineStr">
        <is>
          <t>blaCTX-M-55</t>
        </is>
      </c>
      <c r="U7" s="25" t="n"/>
      <c r="V7" s="25" t="n"/>
      <c r="W7" s="25" t="n">
        <v>6</v>
      </c>
      <c r="X7" s="25" t="n">
        <v>9</v>
      </c>
      <c r="Y7" s="25" t="inlineStr">
        <is>
          <t>aadA5 aph(3'')-Ib aph(6)-Id blaCTX-M-55 cirA_G181VfsTer13 cyaA_S352T dfrA17 floR gyrA_D87N gyrA_S83L mcr-1.1 nfsA_R15C parC_S80I parE_S458T sul2 tet(A)</t>
        </is>
      </c>
      <c r="Z7" s="31" t="n">
        <v>117</v>
      </c>
      <c r="AA7" s="31" t="inlineStr">
        <is>
          <t>IncI2</t>
        </is>
      </c>
      <c r="AB7" s="31" t="n"/>
      <c r="AC7" s="25" t="inlineStr">
        <is>
          <t>|mcr-1.1|</t>
        </is>
      </c>
      <c r="AD7" s="19" t="n">
        <v>100</v>
      </c>
      <c r="AE7" s="19" t="n">
        <v>0.23</v>
      </c>
      <c r="AF7" s="19" t="inlineStr">
        <is>
          <t>no</t>
        </is>
      </c>
      <c r="AG7" s="19" t="inlineStr">
        <is>
          <t>Yes</t>
        </is>
      </c>
    </row>
    <row r="8" ht="15" customHeight="1" s="20">
      <c r="A8" s="25" t="inlineStr">
        <is>
          <t>PDT003185041.1</t>
        </is>
      </c>
      <c r="B8" s="25" t="inlineStr">
        <is>
          <t>SAMN54240898</t>
        </is>
      </c>
      <c r="C8" s="25" t="inlineStr">
        <is>
          <t>PRJNA1392031</t>
        </is>
      </c>
      <c r="D8" s="25" t="inlineStr">
        <is>
          <t>GCA_056837885.1</t>
        </is>
      </c>
      <c r="E8" s="25" t="n"/>
      <c r="F8" s="25" t="n"/>
      <c r="G8" s="25" t="inlineStr">
        <is>
          <t>GenBank assembly (no reads)</t>
        </is>
      </c>
      <c r="H8" s="25" t="inlineStr">
        <is>
          <t>Eco_70238</t>
        </is>
      </c>
      <c r="I8" s="25" t="inlineStr">
        <is>
          <t>Tunisia</t>
        </is>
      </c>
      <c r="J8" s="25" t="inlineStr">
        <is>
          <t>Tunis</t>
        </is>
      </c>
      <c r="K8" s="25" t="inlineStr">
        <is>
          <t>2025</t>
        </is>
      </c>
      <c r="L8" s="25" t="inlineStr">
        <is>
          <t>2025-02-18</t>
        </is>
      </c>
      <c r="M8" s="25" t="inlineStr">
        <is>
          <t>Homo sapiens</t>
        </is>
      </c>
      <c r="N8" s="25" t="n"/>
      <c r="O8" s="25" t="inlineStr">
        <is>
          <t>Human</t>
        </is>
      </c>
      <c r="P8" s="25" t="n"/>
      <c r="Q8" s="25" t="inlineStr">
        <is>
          <t>clinical</t>
        </is>
      </c>
      <c r="R8" s="25" t="inlineStr">
        <is>
          <t>mcr-1.1</t>
        </is>
      </c>
      <c r="S8" s="25" t="n"/>
      <c r="T8" s="25" t="n"/>
      <c r="U8" s="25" t="n"/>
      <c r="V8" s="25" t="n"/>
      <c r="W8" s="25" t="n">
        <v>6</v>
      </c>
      <c r="X8" s="25" t="n">
        <v>1</v>
      </c>
      <c r="Y8" s="25" t="inlineStr">
        <is>
          <t>cyaA_S352T mcr-1.1 nfsA_S33R uhpT_E350Q</t>
        </is>
      </c>
      <c r="Z8" s="31" t="inlineStr">
        <is>
          <t>Untypeable</t>
        </is>
      </c>
      <c r="AA8" s="31" t="inlineStr">
        <is>
          <t>IncI2</t>
        </is>
      </c>
      <c r="AB8" s="31" t="inlineStr">
        <is>
          <t>Novel or partial MLST allele (adk(203) fumC(~210) gyrB(308) icd(25) mdh(4) purA(16) recA(19)).</t>
        </is>
      </c>
      <c r="AC8" s="25" t="inlineStr">
        <is>
          <t>|mcr-1.1|</t>
        </is>
      </c>
      <c r="AD8" s="19" t="n">
        <v>100</v>
      </c>
      <c r="AE8" s="19" t="n">
        <v>0.35</v>
      </c>
      <c r="AF8" s="19" t="inlineStr">
        <is>
          <t>no</t>
        </is>
      </c>
      <c r="AG8" s="19" t="inlineStr">
        <is>
          <t>Yes</t>
        </is>
      </c>
    </row>
    <row r="9" ht="15" customHeight="1" s="20">
      <c r="A9" s="25" t="inlineStr">
        <is>
          <t>PDT003185040.1</t>
        </is>
      </c>
      <c r="B9" s="25" t="inlineStr">
        <is>
          <t>SAMN54240899</t>
        </is>
      </c>
      <c r="C9" s="25" t="inlineStr">
        <is>
          <t>PRJNA1392031</t>
        </is>
      </c>
      <c r="D9" s="25" t="inlineStr">
        <is>
          <t>GCA_056837865.1</t>
        </is>
      </c>
      <c r="E9" s="25" t="n"/>
      <c r="F9" s="25" t="n"/>
      <c r="G9" s="25" t="inlineStr">
        <is>
          <t>GenBank assembly (no reads)</t>
        </is>
      </c>
      <c r="H9" s="25" t="inlineStr">
        <is>
          <t>Eco_70240</t>
        </is>
      </c>
      <c r="I9" s="25" t="inlineStr">
        <is>
          <t>Tunisia</t>
        </is>
      </c>
      <c r="J9" s="25" t="inlineStr">
        <is>
          <t>Tunis</t>
        </is>
      </c>
      <c r="K9" s="25" t="inlineStr">
        <is>
          <t>2023</t>
        </is>
      </c>
      <c r="L9" s="25" t="inlineStr">
        <is>
          <t>2023-12-27</t>
        </is>
      </c>
      <c r="M9" s="25" t="inlineStr">
        <is>
          <t>Homo sapiens</t>
        </is>
      </c>
      <c r="N9" s="25" t="n"/>
      <c r="O9" s="25" t="inlineStr">
        <is>
          <t>Human</t>
        </is>
      </c>
      <c r="P9" s="25" t="n"/>
      <c r="Q9" s="25" t="inlineStr">
        <is>
          <t>clinical</t>
        </is>
      </c>
      <c r="R9" s="25" t="inlineStr">
        <is>
          <t>mcr-1.1</t>
        </is>
      </c>
      <c r="S9" s="25" t="n"/>
      <c r="T9" s="25" t="n"/>
      <c r="U9" s="25" t="n"/>
      <c r="V9" s="25" t="n"/>
      <c r="W9" s="25" t="n">
        <v>5</v>
      </c>
      <c r="X9" s="25" t="n">
        <v>4</v>
      </c>
      <c r="Y9" s="25" t="inlineStr">
        <is>
          <t>blaTEM-1 blaTEMp_C32T cirA_W164Ter cyaA_S352T dfrA14 gyrA_S83L mcr-1.1 parC_S80I tet(B)</t>
        </is>
      </c>
      <c r="Z9" s="31" t="n">
        <v>69</v>
      </c>
      <c r="AA9" s="31" t="inlineStr">
        <is>
          <t>IncI2</t>
        </is>
      </c>
      <c r="AB9" s="31" t="n"/>
      <c r="AC9" s="25" t="inlineStr">
        <is>
          <t>|mcr-1.1|</t>
        </is>
      </c>
      <c r="AD9" s="19" t="n">
        <v>100</v>
      </c>
      <c r="AE9" s="19" t="n">
        <v>0.6899999999999999</v>
      </c>
      <c r="AF9" s="19" t="inlineStr">
        <is>
          <t>no</t>
        </is>
      </c>
      <c r="AG9" s="19" t="inlineStr">
        <is>
          <t>Yes</t>
        </is>
      </c>
    </row>
    <row r="10" ht="15" customHeight="1" s="20">
      <c r="A10" s="25" t="inlineStr">
        <is>
          <t>PDT003185039.1</t>
        </is>
      </c>
      <c r="B10" s="25" t="inlineStr">
        <is>
          <t>SAMN54240900</t>
        </is>
      </c>
      <c r="C10" s="25" t="inlineStr">
        <is>
          <t>PRJNA1392031</t>
        </is>
      </c>
      <c r="D10" s="25" t="inlineStr">
        <is>
          <t>GCA_056837825.1</t>
        </is>
      </c>
      <c r="E10" s="25" t="n"/>
      <c r="F10" s="25" t="n"/>
      <c r="G10" s="25" t="inlineStr">
        <is>
          <t>GenBank assembly (no reads)</t>
        </is>
      </c>
      <c r="H10" s="25" t="inlineStr">
        <is>
          <t>Eco_70242</t>
        </is>
      </c>
      <c r="I10" s="25" t="inlineStr">
        <is>
          <t>Tunisia</t>
        </is>
      </c>
      <c r="J10" s="25" t="inlineStr">
        <is>
          <t>Tunis</t>
        </is>
      </c>
      <c r="K10" s="25" t="inlineStr">
        <is>
          <t>2024</t>
        </is>
      </c>
      <c r="L10" s="25" t="inlineStr">
        <is>
          <t>2024-07-01</t>
        </is>
      </c>
      <c r="M10" s="25" t="inlineStr">
        <is>
          <t>Homo sapiens</t>
        </is>
      </c>
      <c r="N10" s="25" t="n"/>
      <c r="O10" s="25" t="inlineStr">
        <is>
          <t>Human</t>
        </is>
      </c>
      <c r="P10" s="25" t="n"/>
      <c r="Q10" s="25" t="inlineStr">
        <is>
          <t>clinical</t>
        </is>
      </c>
      <c r="R10" s="25" t="inlineStr">
        <is>
          <t>mcr-1.1</t>
        </is>
      </c>
      <c r="S10" s="25" t="n"/>
      <c r="T10" s="25" t="inlineStr">
        <is>
          <t>blaCTX-M-55</t>
        </is>
      </c>
      <c r="U10" s="25" t="n"/>
      <c r="V10" s="25" t="n"/>
      <c r="W10" s="25" t="n">
        <v>4</v>
      </c>
      <c r="X10" s="25" t="n">
        <v>9</v>
      </c>
      <c r="Y10" s="25" t="inlineStr">
        <is>
          <t>aph(3'')-Ib aph(6)-Id blaCTX-M-55 blaTEM-1 dfrA5 floR gyrA_D87N gyrA_S83L mcr-1.1 parC_S80I sul2 tet(A)</t>
        </is>
      </c>
      <c r="Z10" s="31" t="n">
        <v>9697</v>
      </c>
      <c r="AA10" s="31" t="inlineStr">
        <is>
          <t>IncI2</t>
        </is>
      </c>
      <c r="AB10" s="31" t="n"/>
      <c r="AC10" s="25" t="inlineStr">
        <is>
          <t>|mcr-1.1|</t>
        </is>
      </c>
      <c r="AD10" s="19" t="n">
        <v>100</v>
      </c>
      <c r="AE10" s="19" t="n">
        <v>0.39</v>
      </c>
      <c r="AF10" s="19" t="inlineStr">
        <is>
          <t>no</t>
        </is>
      </c>
      <c r="AG10" s="19" t="inlineStr">
        <is>
          <t>Yes</t>
        </is>
      </c>
    </row>
    <row r="11" ht="15" customHeight="1" s="20">
      <c r="A11" s="25" t="inlineStr">
        <is>
          <t>PDT003178996.1</t>
        </is>
      </c>
      <c r="B11" s="25" t="inlineStr">
        <is>
          <t>SAMN57053898</t>
        </is>
      </c>
      <c r="C11" s="25" t="inlineStr">
        <is>
          <t>PRJNA1392031</t>
        </is>
      </c>
      <c r="D11" s="25" t="inlineStr">
        <is>
          <t>GCA_056711405.1</t>
        </is>
      </c>
      <c r="E11" s="25" t="n"/>
      <c r="F11" s="25" t="n"/>
      <c r="G11" s="25" t="inlineStr">
        <is>
          <t>GenBank assembly (no reads)</t>
        </is>
      </c>
      <c r="H11" s="25" t="inlineStr">
        <is>
          <t>Eco_70239</t>
        </is>
      </c>
      <c r="I11" s="25" t="inlineStr">
        <is>
          <t>Tunisia</t>
        </is>
      </c>
      <c r="J11" s="25" t="inlineStr">
        <is>
          <t>Tunis</t>
        </is>
      </c>
      <c r="K11" s="25" t="inlineStr">
        <is>
          <t>2024</t>
        </is>
      </c>
      <c r="L11" s="25" t="inlineStr">
        <is>
          <t>2024-09-09</t>
        </is>
      </c>
      <c r="M11" s="25" t="inlineStr">
        <is>
          <t>Homo sapiens</t>
        </is>
      </c>
      <c r="N11" s="25" t="inlineStr">
        <is>
          <t>urine</t>
        </is>
      </c>
      <c r="O11" s="25" t="inlineStr">
        <is>
          <t>Human</t>
        </is>
      </c>
      <c r="P11" s="25" t="n"/>
      <c r="Q11" s="25" t="inlineStr">
        <is>
          <t>clinical</t>
        </is>
      </c>
      <c r="R11" s="25" t="inlineStr">
        <is>
          <t>mcr-1.1</t>
        </is>
      </c>
      <c r="S11" s="25" t="n"/>
      <c r="T11" s="25" t="inlineStr">
        <is>
          <t>blaCTX-M-55</t>
        </is>
      </c>
      <c r="U11" s="25" t="n"/>
      <c r="V11" s="25" t="n"/>
      <c r="W11" s="25" t="n">
        <v>6</v>
      </c>
      <c r="X11" s="25" t="n">
        <v>9</v>
      </c>
      <c r="Y11" s="25" t="inlineStr">
        <is>
          <t>aph(3'')-Ib aph(6)-Id blaCTX-M-55 blaTEM-1 dfrA5 floR gyrA_D87N gyrA_S83L mcr-1.1 parC_S80I sul2 tet(A)</t>
        </is>
      </c>
      <c r="Z11" s="31" t="n">
        <v>9697</v>
      </c>
      <c r="AA11" s="31" t="inlineStr">
        <is>
          <t>IncI2</t>
        </is>
      </c>
      <c r="AB11" s="31" t="n"/>
      <c r="AC11" s="25" t="inlineStr">
        <is>
          <t>|mcr-1.1|</t>
        </is>
      </c>
      <c r="AD11" s="19" t="n">
        <v>100</v>
      </c>
      <c r="AE11" s="19" t="n">
        <v>0.39</v>
      </c>
      <c r="AF11" s="19" t="inlineStr">
        <is>
          <t>no</t>
        </is>
      </c>
      <c r="AG11" s="19" t="inlineStr">
        <is>
          <t>Yes</t>
        </is>
      </c>
    </row>
    <row r="12" ht="15" customHeight="1" s="20">
      <c r="A12" s="25" t="inlineStr">
        <is>
          <t>PDT003138659.1</t>
        </is>
      </c>
      <c r="B12" s="25" t="inlineStr">
        <is>
          <t>SAMN47585712</t>
        </is>
      </c>
      <c r="C12" s="25" t="inlineStr">
        <is>
          <t>PRJNA1242317</t>
        </is>
      </c>
      <c r="D12" s="25" t="inlineStr">
        <is>
          <t>GCA_055786625.1</t>
        </is>
      </c>
      <c r="E12" s="25" t="n"/>
      <c r="F12" s="25" t="n"/>
      <c r="G12" s="25" t="inlineStr">
        <is>
          <t>GenBank assembly (no reads)</t>
        </is>
      </c>
      <c r="H12" s="25" t="inlineStr">
        <is>
          <t>ECO150</t>
        </is>
      </c>
      <c r="I12" s="25" t="inlineStr">
        <is>
          <t>Algeria</t>
        </is>
      </c>
      <c r="J12" s="25" t="inlineStr">
        <is>
          <t>Batna</t>
        </is>
      </c>
      <c r="K12" s="25" t="inlineStr">
        <is>
          <t>2023</t>
        </is>
      </c>
      <c r="L12" s="25" t="inlineStr">
        <is>
          <t>2023-10-16</t>
        </is>
      </c>
      <c r="M12" s="25" t="inlineStr">
        <is>
          <t>Felis catus</t>
        </is>
      </c>
      <c r="N12" s="25" t="inlineStr">
        <is>
          <t>cat</t>
        </is>
      </c>
      <c r="O12" s="25" t="inlineStr">
        <is>
          <t>Other animal</t>
        </is>
      </c>
      <c r="P12" s="25" t="n"/>
      <c r="Q12" s="25" t="inlineStr">
        <is>
          <t>clinical</t>
        </is>
      </c>
      <c r="R12" s="25" t="inlineStr">
        <is>
          <t>mcr-1.1</t>
        </is>
      </c>
      <c r="S12" s="25" t="n"/>
      <c r="T12" s="25" t="inlineStr">
        <is>
          <t>blaCTX-M-1</t>
        </is>
      </c>
      <c r="U12" s="25" t="n"/>
      <c r="V12" s="25" t="n"/>
      <c r="W12" s="25" t="n">
        <v>5</v>
      </c>
      <c r="X12" s="25" t="n">
        <v>8</v>
      </c>
      <c r="Y12" s="25" t="inlineStr">
        <is>
          <t>aph(3')-Ia blaCTX-M-1 blaTEM-1 dfrA14 gyrA_D87N gyrA_S83L mcr-1.1 parC_E84A parC_S80I qnrS1 sul2 tet(A)</t>
        </is>
      </c>
      <c r="Z12" s="31" t="n">
        <v>162</v>
      </c>
      <c r="AA12" s="31" t="inlineStr">
        <is>
          <t>IncI2</t>
        </is>
      </c>
      <c r="AB12" s="31" t="n"/>
      <c r="AC12" s="25" t="inlineStr">
        <is>
          <t>|mcr-1.1|</t>
        </is>
      </c>
      <c r="AD12" s="19" t="n">
        <v>100</v>
      </c>
      <c r="AE12" s="19" t="n">
        <v>0.22</v>
      </c>
      <c r="AF12" s="19" t="inlineStr">
        <is>
          <t>no</t>
        </is>
      </c>
      <c r="AG12" s="19" t="inlineStr">
        <is>
          <t>Yes</t>
        </is>
      </c>
    </row>
    <row r="13" ht="15" customHeight="1" s="20">
      <c r="A13" s="25" t="inlineStr">
        <is>
          <t>PDT003138657.1</t>
        </is>
      </c>
      <c r="B13" s="25" t="inlineStr">
        <is>
          <t>SAMN47585716</t>
        </is>
      </c>
      <c r="C13" s="25" t="inlineStr">
        <is>
          <t>PRJNA1242317</t>
        </is>
      </c>
      <c r="D13" s="25" t="inlineStr">
        <is>
          <t>GCA_055786575.1</t>
        </is>
      </c>
      <c r="E13" s="25" t="n"/>
      <c r="F13" s="25" t="n"/>
      <c r="G13" s="25" t="inlineStr">
        <is>
          <t>GenBank assembly (no reads)</t>
        </is>
      </c>
      <c r="H13" s="25" t="inlineStr">
        <is>
          <t>ECO164</t>
        </is>
      </c>
      <c r="I13" s="25" t="inlineStr">
        <is>
          <t>Algeria</t>
        </is>
      </c>
      <c r="J13" s="25" t="inlineStr">
        <is>
          <t>Batna</t>
        </is>
      </c>
      <c r="K13" s="25" t="inlineStr">
        <is>
          <t>2023</t>
        </is>
      </c>
      <c r="L13" s="25" t="inlineStr">
        <is>
          <t>2023-11-15</t>
        </is>
      </c>
      <c r="M13" s="25" t="inlineStr">
        <is>
          <t>Felis catus</t>
        </is>
      </c>
      <c r="N13" s="25" t="inlineStr">
        <is>
          <t>cat</t>
        </is>
      </c>
      <c r="O13" s="25" t="inlineStr">
        <is>
          <t>Other animal</t>
        </is>
      </c>
      <c r="P13" s="25" t="n"/>
      <c r="Q13" s="25" t="inlineStr">
        <is>
          <t>clinical</t>
        </is>
      </c>
      <c r="R13" s="25" t="inlineStr">
        <is>
          <t>mcr-1.1</t>
        </is>
      </c>
      <c r="S13" s="25" t="n"/>
      <c r="T13" s="25" t="inlineStr">
        <is>
          <t>blaCTX-M-1</t>
        </is>
      </c>
      <c r="U13" s="25" t="n"/>
      <c r="V13" s="25" t="n"/>
      <c r="W13" s="25" t="n">
        <v>5</v>
      </c>
      <c r="X13" s="25" t="n">
        <v>7</v>
      </c>
      <c r="Y13" s="25" t="inlineStr">
        <is>
          <t>aph(3')-Ia blaCTX-M-1 dfrA14 mcr-1.1 qnrS1 sul2 tet(A)</t>
        </is>
      </c>
      <c r="Z13" s="31" t="n">
        <v>10</v>
      </c>
      <c r="AA13" s="31" t="inlineStr">
        <is>
          <t>IncI2</t>
        </is>
      </c>
      <c r="AB13" s="31" t="n"/>
      <c r="AC13" s="25" t="inlineStr">
        <is>
          <t>|mcr-1.1|</t>
        </is>
      </c>
      <c r="AD13" s="19" t="n">
        <v>100</v>
      </c>
      <c r="AE13" s="19" t="n">
        <v>0.64</v>
      </c>
      <c r="AF13" s="19" t="inlineStr">
        <is>
          <t>no</t>
        </is>
      </c>
      <c r="AG13" s="19" t="inlineStr">
        <is>
          <t>Yes</t>
        </is>
      </c>
    </row>
    <row r="14" ht="15" customHeight="1" s="20">
      <c r="A14" s="25" t="inlineStr">
        <is>
          <t>PDT003138653.1</t>
        </is>
      </c>
      <c r="B14" s="25" t="inlineStr">
        <is>
          <t>SAMN47585720</t>
        </is>
      </c>
      <c r="C14" s="25" t="inlineStr">
        <is>
          <t>PRJNA1242317</t>
        </is>
      </c>
      <c r="D14" s="25" t="inlineStr">
        <is>
          <t>GCA_055786505.1</t>
        </is>
      </c>
      <c r="E14" s="25" t="n"/>
      <c r="F14" s="25" t="n"/>
      <c r="G14" s="25" t="inlineStr">
        <is>
          <t>GenBank assembly (no reads)</t>
        </is>
      </c>
      <c r="H14" s="25" t="inlineStr">
        <is>
          <t>ECO187</t>
        </is>
      </c>
      <c r="I14" s="25" t="inlineStr">
        <is>
          <t>Algeria</t>
        </is>
      </c>
      <c r="J14" s="25" t="inlineStr">
        <is>
          <t>Batna</t>
        </is>
      </c>
      <c r="K14" s="25" t="inlineStr">
        <is>
          <t>2023</t>
        </is>
      </c>
      <c r="L14" s="25" t="inlineStr">
        <is>
          <t>2023-11-27</t>
        </is>
      </c>
      <c r="M14" s="25" t="inlineStr">
        <is>
          <t>Felis catus</t>
        </is>
      </c>
      <c r="N14" s="25" t="inlineStr">
        <is>
          <t>cat</t>
        </is>
      </c>
      <c r="O14" s="25" t="inlineStr">
        <is>
          <t>Other animal</t>
        </is>
      </c>
      <c r="P14" s="25" t="n"/>
      <c r="Q14" s="25" t="inlineStr">
        <is>
          <t>clinical</t>
        </is>
      </c>
      <c r="R14" s="25" t="inlineStr">
        <is>
          <t>mcr-1.1</t>
        </is>
      </c>
      <c r="S14" s="25" t="n"/>
      <c r="T14" s="25" t="inlineStr">
        <is>
          <t>blaCTX-M-1</t>
        </is>
      </c>
      <c r="U14" s="25" t="n"/>
      <c r="V14" s="25" t="n"/>
      <c r="W14" s="25" t="n">
        <v>4</v>
      </c>
      <c r="X14" s="25" t="n">
        <v>10</v>
      </c>
      <c r="Y14" s="25" t="inlineStr">
        <is>
          <t>blaCTX-M-1 blaTEM-1 dfrA14 gyrA_S83L mcr-1.1 mph(A) qnrS1 sul2 sul3 tet(A) tet(A)</t>
        </is>
      </c>
      <c r="Z14" s="31" t="n">
        <v>162</v>
      </c>
      <c r="AA14" s="31" t="inlineStr">
        <is>
          <t>IncI2</t>
        </is>
      </c>
      <c r="AB14" s="31" t="n"/>
      <c r="AC14" s="25" t="inlineStr">
        <is>
          <t>|mcr-1.1|</t>
        </is>
      </c>
      <c r="AD14" s="19" t="n">
        <v>100</v>
      </c>
      <c r="AE14" s="19" t="n">
        <v>0.58</v>
      </c>
      <c r="AF14" s="19" t="inlineStr">
        <is>
          <t>no</t>
        </is>
      </c>
      <c r="AG14" s="19" t="inlineStr">
        <is>
          <t>Yes</t>
        </is>
      </c>
    </row>
    <row r="15" ht="15" customHeight="1" s="20">
      <c r="A15" s="25" t="inlineStr">
        <is>
          <t>PDT003089479.1</t>
        </is>
      </c>
      <c r="B15" s="25" t="inlineStr">
        <is>
          <t>SAMEA120781931</t>
        </is>
      </c>
      <c r="C15" s="25" t="inlineStr">
        <is>
          <t>PRJEB104706</t>
        </is>
      </c>
      <c r="D15" s="25" t="inlineStr">
        <is>
          <t>GCA_977857605.1</t>
        </is>
      </c>
      <c r="E15" s="25" t="n"/>
      <c r="F15" s="25" t="n"/>
      <c r="G15" s="25" t="inlineStr">
        <is>
          <t>GenBank assembly (no reads)</t>
        </is>
      </c>
      <c r="H15" s="25" t="n"/>
      <c r="I15" s="25" t="inlineStr">
        <is>
          <t>Cameroon</t>
        </is>
      </c>
      <c r="J15" s="25" t="n"/>
      <c r="K15" s="25" t="inlineStr">
        <is>
          <t>2022</t>
        </is>
      </c>
      <c r="L15" s="25" t="inlineStr">
        <is>
          <t>2022</t>
        </is>
      </c>
      <c r="M15" s="25" t="inlineStr">
        <is>
          <t>Gallus gallus domesticus</t>
        </is>
      </c>
      <c r="N15" s="25" t="inlineStr">
        <is>
          <t>stool</t>
        </is>
      </c>
      <c r="O15" s="25" t="inlineStr">
        <is>
          <t>Poultry</t>
        </is>
      </c>
      <c r="P15" s="25" t="inlineStr">
        <is>
          <t>Live bird (faeces/cloaca/organ)</t>
        </is>
      </c>
      <c r="Q15" s="25" t="n"/>
      <c r="R15" s="25" t="inlineStr">
        <is>
          <t>mcr-1.1</t>
        </is>
      </c>
      <c r="S15" s="25" t="n"/>
      <c r="T15" s="25" t="inlineStr">
        <is>
          <t>blaCTX-M-125</t>
        </is>
      </c>
      <c r="U15" s="25" t="n"/>
      <c r="V15" s="25" t="n"/>
      <c r="W15" s="25" t="n">
        <v>166</v>
      </c>
      <c r="X15" s="25" t="n">
        <v>11</v>
      </c>
      <c r="Y15" s="25" t="inlineStr">
        <is>
          <t>aadA1 aadA2 blaCTX-M-125 blaTEM-1 cmlA1 dfrA12 gyrA_D87N gyrA_S83L mcr-1.1 parC_S80R qnrS1 sul3 tet(A) tet(M)</t>
        </is>
      </c>
      <c r="Z15" s="31" t="n">
        <v>5625</v>
      </c>
      <c r="AA15" s="31" t="inlineStr">
        <is>
          <t>IncHI1A/IncFIA (MOB-Recon bin)</t>
        </is>
      </c>
      <c r="AB15" s="31" t="n"/>
      <c r="AC15" s="25" t="inlineStr">
        <is>
          <t>|mcr-1.1|</t>
        </is>
      </c>
      <c r="AD15" s="19" t="n">
        <v>100</v>
      </c>
      <c r="AE15" s="19" t="n">
        <v>0.06</v>
      </c>
      <c r="AF15" s="19" t="inlineStr">
        <is>
          <t>yes</t>
        </is>
      </c>
      <c r="AG15" s="19" t="inlineStr">
        <is>
          <t>Yes</t>
        </is>
      </c>
    </row>
    <row r="16" ht="15" customHeight="1" s="20">
      <c r="A16" s="25" t="inlineStr">
        <is>
          <t>PDT003059286.1</t>
        </is>
      </c>
      <c r="B16" s="25" t="inlineStr">
        <is>
          <t>SAMN53123345</t>
        </is>
      </c>
      <c r="C16" s="25" t="inlineStr">
        <is>
          <t>PRJNA1358714</t>
        </is>
      </c>
      <c r="D16" s="25" t="inlineStr">
        <is>
          <t>GCA_054553885.1</t>
        </is>
      </c>
      <c r="E16" s="25" t="inlineStr">
        <is>
          <t>SRR35975911</t>
        </is>
      </c>
      <c r="F16" s="25" t="n"/>
      <c r="G16" s="25" t="inlineStr">
        <is>
          <t>SRA Illumina PE reads</t>
        </is>
      </c>
      <c r="H16" s="25" t="n"/>
      <c r="I16" s="25" t="inlineStr">
        <is>
          <t>Tunisia</t>
        </is>
      </c>
      <c r="J16" s="25" t="inlineStr">
        <is>
          <t>Sfax</t>
        </is>
      </c>
      <c r="K16" s="25" t="inlineStr">
        <is>
          <t>2018</t>
        </is>
      </c>
      <c r="L16" s="25" t="inlineStr">
        <is>
          <t>2018</t>
        </is>
      </c>
      <c r="M16" s="25" t="inlineStr">
        <is>
          <t>Homo sapiens</t>
        </is>
      </c>
      <c r="N16" s="25" t="inlineStr">
        <is>
          <t>wound</t>
        </is>
      </c>
      <c r="O16" s="25" t="inlineStr">
        <is>
          <t>Human</t>
        </is>
      </c>
      <c r="P16" s="25" t="n"/>
      <c r="Q16" s="25" t="inlineStr">
        <is>
          <t>clinical</t>
        </is>
      </c>
      <c r="R16" s="25" t="inlineStr">
        <is>
          <t>mcr-1.1</t>
        </is>
      </c>
      <c r="S16" s="25" t="n"/>
      <c r="T16" s="25" t="n"/>
      <c r="U16" s="25" t="inlineStr">
        <is>
          <t>blaOXA-48</t>
        </is>
      </c>
      <c r="V16" s="25" t="n"/>
      <c r="W16" s="25" t="n">
        <v>86</v>
      </c>
      <c r="X16" s="25" t="n">
        <v>10</v>
      </c>
      <c r="Y16" s="25" t="inlineStr">
        <is>
          <t>aac(3)-IId aadA2 aph(3'')-Ib aph(6)-Id blaOXA-48 blaTEM-1 cirA_Q65Ter dfrA12 gyrA_D87N gyrA_S83L mcr-1.1 parC_S80I sul2 tet(A)</t>
        </is>
      </c>
      <c r="Z16" s="31" t="n">
        <v>1011</v>
      </c>
      <c r="AA16" s="31" t="inlineStr">
        <is>
          <t>IncX4</t>
        </is>
      </c>
      <c r="AB16" s="31" t="n"/>
      <c r="AC16" s="25" t="inlineStr">
        <is>
          <t>|mcr-1.1|</t>
        </is>
      </c>
      <c r="AD16" s="19" t="n">
        <v>100</v>
      </c>
      <c r="AE16" s="19" t="n">
        <v>0.57</v>
      </c>
      <c r="AF16" s="19" t="inlineStr">
        <is>
          <t>no</t>
        </is>
      </c>
      <c r="AG16" s="19" t="inlineStr">
        <is>
          <t>Yes</t>
        </is>
      </c>
    </row>
    <row r="17" ht="15" customHeight="1" s="20">
      <c r="A17" s="25" t="inlineStr">
        <is>
          <t>PDT003059285.1</t>
        </is>
      </c>
      <c r="B17" s="25" t="inlineStr">
        <is>
          <t>SAMN53123346</t>
        </is>
      </c>
      <c r="C17" s="25" t="inlineStr">
        <is>
          <t>PRJNA1358714</t>
        </is>
      </c>
      <c r="D17" s="25" t="inlineStr">
        <is>
          <t>GCA_054553805.1</t>
        </is>
      </c>
      <c r="E17" s="25" t="inlineStr">
        <is>
          <t>SRR35975910</t>
        </is>
      </c>
      <c r="F17" s="25" t="n"/>
      <c r="G17" s="25" t="inlineStr">
        <is>
          <t>SRA Illumina PE reads</t>
        </is>
      </c>
      <c r="H17" s="25" t="n"/>
      <c r="I17" s="25" t="inlineStr">
        <is>
          <t>Tunisia</t>
        </is>
      </c>
      <c r="J17" s="25" t="inlineStr">
        <is>
          <t>Sfax</t>
        </is>
      </c>
      <c r="K17" s="25" t="inlineStr">
        <is>
          <t>2018</t>
        </is>
      </c>
      <c r="L17" s="25" t="inlineStr">
        <is>
          <t>2018</t>
        </is>
      </c>
      <c r="M17" s="25" t="inlineStr">
        <is>
          <t>Homo sapiens</t>
        </is>
      </c>
      <c r="N17" s="25" t="inlineStr">
        <is>
          <t>wound</t>
        </is>
      </c>
      <c r="O17" s="25" t="inlineStr">
        <is>
          <t>Human</t>
        </is>
      </c>
      <c r="P17" s="25" t="n"/>
      <c r="Q17" s="25" t="inlineStr">
        <is>
          <t>clinical</t>
        </is>
      </c>
      <c r="R17" s="25" t="inlineStr">
        <is>
          <t>mcr-1.1</t>
        </is>
      </c>
      <c r="S17" s="25" t="n"/>
      <c r="T17" s="25" t="n"/>
      <c r="U17" s="25" t="n"/>
      <c r="V17" s="25" t="n"/>
      <c r="W17" s="25" t="n">
        <v>151</v>
      </c>
      <c r="X17" s="25" t="n">
        <v>8</v>
      </c>
      <c r="Y17" s="25" t="inlineStr">
        <is>
          <t>acrR_P182RfsTer62 aph(3'')-Ib aph(6)-Id blaTEM-1 estT floR gyrA_D87N gyrA_S83L mcr-1.1 parC_S80I sul2 tet(A)</t>
        </is>
      </c>
      <c r="Z17" s="31" t="inlineStr">
        <is>
          <t>Untypeable</t>
        </is>
      </c>
      <c r="AA17" s="31" t="inlineStr">
        <is>
          <t>IncX4</t>
        </is>
      </c>
      <c r="AB17" s="31" t="inlineStr">
        <is>
          <t>Novel or partial MLST allele (adk(99) fumC(~1179) gyrB(33) icd(33) mdh(24) purA(8) recA(7)).</t>
        </is>
      </c>
      <c r="AC17" s="25" t="inlineStr">
        <is>
          <t>|mcr-1.1|</t>
        </is>
      </c>
      <c r="AD17" s="19" t="n">
        <v>100</v>
      </c>
      <c r="AE17" s="19" t="n">
        <v>0.77</v>
      </c>
      <c r="AF17" s="19" t="inlineStr">
        <is>
          <t>no</t>
        </is>
      </c>
      <c r="AG17" s="19" t="inlineStr">
        <is>
          <t>Yes</t>
        </is>
      </c>
    </row>
    <row r="18" ht="15" customHeight="1" s="20">
      <c r="A18" s="25" t="inlineStr">
        <is>
          <t>PDT003045902.1</t>
        </is>
      </c>
      <c r="B18" s="25" t="inlineStr">
        <is>
          <t>SAMN54331487</t>
        </is>
      </c>
      <c r="C18" s="25" t="inlineStr">
        <is>
          <t>PRJNA1395011</t>
        </is>
      </c>
      <c r="D18" s="25" t="inlineStr">
        <is>
          <t>GCA_054353075.1</t>
        </is>
      </c>
      <c r="E18" s="25" t="n"/>
      <c r="F18" s="25" t="n"/>
      <c r="G18" s="25" t="inlineStr">
        <is>
          <t>GenBank assembly (no reads)</t>
        </is>
      </c>
      <c r="H18" s="25" t="inlineStr">
        <is>
          <t>EC100</t>
        </is>
      </c>
      <c r="I18" s="25" t="inlineStr">
        <is>
          <t>Morocco</t>
        </is>
      </c>
      <c r="J18" s="25" t="n"/>
      <c r="K18" s="25" t="inlineStr">
        <is>
          <t>2024</t>
        </is>
      </c>
      <c r="L18" s="25" t="inlineStr">
        <is>
          <t>2024-05-03</t>
        </is>
      </c>
      <c r="M18" s="25" t="n"/>
      <c r="N18" s="25" t="inlineStr">
        <is>
          <t>wastewater</t>
        </is>
      </c>
      <c r="O18" s="25" t="inlineStr">
        <is>
          <t>Environment</t>
        </is>
      </c>
      <c r="P18" s="25" t="n"/>
      <c r="Q18" s="25" t="inlineStr">
        <is>
          <t>environmental/other</t>
        </is>
      </c>
      <c r="R18" s="25" t="inlineStr">
        <is>
          <t>mcr-1.1</t>
        </is>
      </c>
      <c r="S18" s="25" t="n"/>
      <c r="T18" s="25" t="inlineStr">
        <is>
          <t>blaCTX-M-276</t>
        </is>
      </c>
      <c r="U18" s="25" t="n"/>
      <c r="V18" s="25" t="n"/>
      <c r="W18" s="25" t="n">
        <v>177</v>
      </c>
      <c r="X18" s="25" t="n">
        <v>13</v>
      </c>
      <c r="Y18" s="25" t="inlineStr">
        <is>
          <t>aac(6')-Ib-cr5 aadA1 aadA2 acrR_E190RfsTer20 blaCTX-M-276 blaOXA-1 blaTEM-1 catB3 cmlA1 estX-3 gyrA_D87N gyrA_S83L mcr-1.1 parC_S80I parE_S458A sul3 tet(A) tet(B)</t>
        </is>
      </c>
      <c r="Z18" s="31" t="n">
        <v>10</v>
      </c>
      <c r="AA18" s="31" t="inlineStr">
        <is>
          <t>IncI2</t>
        </is>
      </c>
      <c r="AB18" s="31" t="n"/>
      <c r="AC18" s="25" t="inlineStr">
        <is>
          <t>|mcr-1.1|</t>
        </is>
      </c>
      <c r="AD18" s="19" t="n">
        <v>100</v>
      </c>
      <c r="AE18" s="19" t="n">
        <v>0.09</v>
      </c>
      <c r="AF18" s="19" t="inlineStr">
        <is>
          <t>no</t>
        </is>
      </c>
      <c r="AG18" s="19" t="inlineStr">
        <is>
          <t>Yes</t>
        </is>
      </c>
    </row>
    <row r="19" ht="15" customHeight="1" s="20">
      <c r="A19" s="25" t="inlineStr">
        <is>
          <t>PDT003025986.1</t>
        </is>
      </c>
      <c r="B19" s="25" t="inlineStr">
        <is>
          <t>SAMEA115952006</t>
        </is>
      </c>
      <c r="C19" s="25" t="inlineStr">
        <is>
          <t>PRJEB65965</t>
        </is>
      </c>
      <c r="D19" s="25" t="inlineStr">
        <is>
          <t>GCA_058969675.1</t>
        </is>
      </c>
      <c r="E19" s="25" t="inlineStr">
        <is>
          <t>ERR15952774</t>
        </is>
      </c>
      <c r="F19" s="25" t="n"/>
      <c r="G19" s="25" t="inlineStr">
        <is>
          <t>SRA Illumina PE reads</t>
        </is>
      </c>
      <c r="H19" s="25" t="inlineStr">
        <is>
          <t>DCG156E1</t>
        </is>
      </c>
      <c r="I19" s="25" t="inlineStr">
        <is>
          <t>Malawi</t>
        </is>
      </c>
      <c r="J19" s="25" t="n"/>
      <c r="K19" s="25" t="n"/>
      <c r="L19" s="25" t="n"/>
      <c r="M19" s="25" t="n"/>
      <c r="N19" s="25" t="n"/>
      <c r="O19" s="25" t="inlineStr">
        <is>
          <t>Unspecified</t>
        </is>
      </c>
      <c r="P19" s="25" t="n"/>
      <c r="Q19" s="25" t="n"/>
      <c r="R19" s="25" t="inlineStr">
        <is>
          <t>mcr-9</t>
        </is>
      </c>
      <c r="S19" s="25" t="n"/>
      <c r="T19" s="25" t="n"/>
      <c r="U19" s="25" t="n"/>
      <c r="V19" s="25" t="n"/>
      <c r="W19" s="25" t="n">
        <v>137</v>
      </c>
      <c r="X19" s="25" t="n">
        <v>14</v>
      </c>
      <c r="Y19" s="25" t="inlineStr">
        <is>
          <t>aac(3)-IIg aac(6')-IIc aadA2 aph(3'')-Ib aph(6)-Id arr blaSHV-12 blaTEM-1 dfrA19 ere(A) mcr-9 qnrB2 sul1 sul2</t>
        </is>
      </c>
      <c r="Z19" s="31" t="n">
        <v>401</v>
      </c>
      <c r="AA19" s="31" t="inlineStr">
        <is>
          <t>IncHI2A (MOB-Recon bin)</t>
        </is>
      </c>
      <c r="AB19" s="31" t="inlineStr">
        <is>
          <t>mcr contig only 2,627 bp; bin assignment is tentative. mcr-9 call is BLASTX (100.0% coverage, 99.81% identity); check before counting.</t>
        </is>
      </c>
      <c r="AC19" s="25" t="inlineStr">
        <is>
          <t>|mcr-9|</t>
        </is>
      </c>
      <c r="AD19" s="19" t="n">
        <v>100</v>
      </c>
      <c r="AE19" s="19" t="n">
        <v>0.55</v>
      </c>
      <c r="AF19" s="19" t="inlineStr">
        <is>
          <t>no</t>
        </is>
      </c>
      <c r="AG19" s="19" t="inlineStr">
        <is>
          <t>Yes</t>
        </is>
      </c>
    </row>
    <row r="20" ht="15" customHeight="1" s="20">
      <c r="A20" s="25" t="inlineStr">
        <is>
          <t>PDT002971161.1</t>
        </is>
      </c>
      <c r="B20" s="25" t="inlineStr">
        <is>
          <t>SAMN49661573</t>
        </is>
      </c>
      <c r="C20" s="25" t="inlineStr">
        <is>
          <t>PRJNA1282727</t>
        </is>
      </c>
      <c r="D20" s="25" t="inlineStr">
        <is>
          <t>GCA_053291725.1</t>
        </is>
      </c>
      <c r="E20" s="25" t="n"/>
      <c r="F20" s="25" t="n"/>
      <c r="G20" s="25" t="inlineStr">
        <is>
          <t>GenBank assembly (no reads)</t>
        </is>
      </c>
      <c r="H20" s="25" t="inlineStr">
        <is>
          <t>E3</t>
        </is>
      </c>
      <c r="I20" s="25" t="inlineStr">
        <is>
          <t>Morocco</t>
        </is>
      </c>
      <c r="J20" s="25" t="n"/>
      <c r="K20" s="25" t="inlineStr">
        <is>
          <t>2021</t>
        </is>
      </c>
      <c r="L20" s="25" t="inlineStr">
        <is>
          <t>2021-03-19</t>
        </is>
      </c>
      <c r="M20" s="25" t="n"/>
      <c r="N20" s="25" t="inlineStr">
        <is>
          <t>chicken offal</t>
        </is>
      </c>
      <c r="O20" s="25" t="inlineStr">
        <is>
          <t>Poultry</t>
        </is>
      </c>
      <c r="P20" s="25" t="inlineStr">
        <is>
          <t>Poultry meat/carcass</t>
        </is>
      </c>
      <c r="Q20" s="25" t="inlineStr">
        <is>
          <t>environmental/other</t>
        </is>
      </c>
      <c r="R20" s="25" t="inlineStr">
        <is>
          <t>mcr-1.1</t>
        </is>
      </c>
      <c r="S20" s="25" t="n"/>
      <c r="T20" s="25" t="n"/>
      <c r="U20" s="25" t="n"/>
      <c r="V20" s="25" t="n"/>
      <c r="W20" s="25" t="n">
        <v>107</v>
      </c>
      <c r="X20" s="25" t="n">
        <v>9</v>
      </c>
      <c r="Y20" s="25" t="inlineStr">
        <is>
          <t>aadA2 aph(3')-Ia blaTEM-1 cirA_D46MfsTer21 dfrA12 gyrA_D87N gyrA_S83L mcr-1.1 mph(A) parC_S80I sul1 sul2 tet(A)</t>
        </is>
      </c>
      <c r="Z20" s="31" t="n">
        <v>57</v>
      </c>
      <c r="AA20" s="31" t="inlineStr">
        <is>
          <t>IncI2</t>
        </is>
      </c>
      <c r="AB20" s="31" t="n"/>
      <c r="AC20" s="25" t="inlineStr">
        <is>
          <t>|mcr-1.1|</t>
        </is>
      </c>
      <c r="AD20" s="19" t="n">
        <v>100</v>
      </c>
      <c r="AE20" s="19" t="n">
        <v>0.57</v>
      </c>
      <c r="AF20" s="19" t="inlineStr">
        <is>
          <t>no</t>
        </is>
      </c>
      <c r="AG20" s="19" t="inlineStr">
        <is>
          <t>Yes</t>
        </is>
      </c>
    </row>
    <row r="21" ht="15" customHeight="1" s="20">
      <c r="A21" s="25" t="inlineStr">
        <is>
          <t>PDT002952003.1</t>
        </is>
      </c>
      <c r="B21" s="25" t="inlineStr">
        <is>
          <t>SAMN44571232</t>
        </is>
      </c>
      <c r="C21" s="25" t="inlineStr">
        <is>
          <t>PRJNA1181821</t>
        </is>
      </c>
      <c r="D21" s="25" t="inlineStr">
        <is>
          <t>GCA_053044365.1</t>
        </is>
      </c>
      <c r="E21" s="25" t="n"/>
      <c r="F21" s="25" t="n"/>
      <c r="G21" s="25" t="inlineStr">
        <is>
          <t>GenBank assembly (no reads)</t>
        </is>
      </c>
      <c r="H21" s="25" t="inlineStr">
        <is>
          <t>23-MO00583-5</t>
        </is>
      </c>
      <c r="I21" s="25" t="inlineStr">
        <is>
          <t>Uganda</t>
        </is>
      </c>
      <c r="J21" s="25" t="n"/>
      <c r="K21" s="25" t="inlineStr">
        <is>
          <t>2022</t>
        </is>
      </c>
      <c r="L21" s="25" t="inlineStr">
        <is>
          <t>2022</t>
        </is>
      </c>
      <c r="M21" s="25" t="inlineStr">
        <is>
          <t>Poultry</t>
        </is>
      </c>
      <c r="N21" s="25" t="inlineStr">
        <is>
          <t>swab</t>
        </is>
      </c>
      <c r="O21" s="25" t="inlineStr">
        <is>
          <t>Poultry</t>
        </is>
      </c>
      <c r="P21" s="25" t="inlineStr">
        <is>
          <t>Live bird (faeces/cloaca/organ)</t>
        </is>
      </c>
      <c r="Q21" s="25" t="n"/>
      <c r="R21" s="25" t="inlineStr">
        <is>
          <t>mcr-1.1</t>
        </is>
      </c>
      <c r="S21" s="25" t="n"/>
      <c r="T21" s="25" t="n"/>
      <c r="U21" s="25" t="n"/>
      <c r="V21" s="25" t="n"/>
      <c r="W21" s="25" t="n">
        <v>219</v>
      </c>
      <c r="X21" s="25" t="n">
        <v>8</v>
      </c>
      <c r="Y21" s="25" t="inlineStr">
        <is>
          <t>aac(3)-IId aph(6)-Id blaTEM-1 dfrA14 mcr-1.1 qnrS1 sul3 tet(A)</t>
        </is>
      </c>
      <c r="Z21" s="31" t="n">
        <v>155</v>
      </c>
      <c r="AA21" s="31" t="inlineStr">
        <is>
          <t>IncI2</t>
        </is>
      </c>
      <c r="AB21" s="31" t="n"/>
      <c r="AC21" s="25" t="inlineStr">
        <is>
          <t>|mcr-1.1|</t>
        </is>
      </c>
      <c r="AD21" s="19" t="n">
        <v>100</v>
      </c>
      <c r="AE21" s="19" t="n">
        <v>0.25</v>
      </c>
      <c r="AF21" s="19" t="inlineStr">
        <is>
          <t>no</t>
        </is>
      </c>
      <c r="AG21" s="19" t="inlineStr">
        <is>
          <t>Yes</t>
        </is>
      </c>
    </row>
    <row r="22" ht="15" customHeight="1" s="20">
      <c r="A22" s="25" t="inlineStr">
        <is>
          <t>PDT002952002.1</t>
        </is>
      </c>
      <c r="B22" s="25" t="inlineStr">
        <is>
          <t>SAMN44571233</t>
        </is>
      </c>
      <c r="C22" s="25" t="inlineStr">
        <is>
          <t>PRJNA1181821</t>
        </is>
      </c>
      <c r="D22" s="25" t="inlineStr">
        <is>
          <t>GCA_053044345.1</t>
        </is>
      </c>
      <c r="E22" s="25" t="n"/>
      <c r="F22" s="25" t="n"/>
      <c r="G22" s="25" t="inlineStr">
        <is>
          <t>GenBank assembly (no reads)</t>
        </is>
      </c>
      <c r="H22" s="25" t="inlineStr">
        <is>
          <t>23-MO00719-1</t>
        </is>
      </c>
      <c r="I22" s="25" t="inlineStr">
        <is>
          <t>Uganda</t>
        </is>
      </c>
      <c r="J22" s="25" t="n"/>
      <c r="K22" s="25" t="inlineStr">
        <is>
          <t>2022</t>
        </is>
      </c>
      <c r="L22" s="25" t="inlineStr">
        <is>
          <t>2022</t>
        </is>
      </c>
      <c r="M22" s="25" t="inlineStr">
        <is>
          <t>Poultry</t>
        </is>
      </c>
      <c r="N22" s="25" t="inlineStr">
        <is>
          <t>swab</t>
        </is>
      </c>
      <c r="O22" s="25" t="inlineStr">
        <is>
          <t>Poultry</t>
        </is>
      </c>
      <c r="P22" s="25" t="inlineStr">
        <is>
          <t>Live bird (faeces/cloaca/organ)</t>
        </is>
      </c>
      <c r="Q22" s="25" t="n"/>
      <c r="R22" s="25" t="inlineStr">
        <is>
          <t>mcr-1.1</t>
        </is>
      </c>
      <c r="S22" s="25" t="n"/>
      <c r="T22" s="25" t="n"/>
      <c r="U22" s="25" t="n"/>
      <c r="V22" s="25" t="inlineStr">
        <is>
          <t>pmrB_A159V</t>
        </is>
      </c>
      <c r="W22" s="25" t="n">
        <v>217</v>
      </c>
      <c r="X22" s="25" t="n">
        <v>8</v>
      </c>
      <c r="Y22" s="25" t="inlineStr">
        <is>
          <t>aac(3)-IId aph(6)-Id blaTEM-1 dfrA14 mcr-1.1 pmrB_A159V qnrS1 sul3 tet(A)</t>
        </is>
      </c>
      <c r="Z22" s="31" t="n">
        <v>155</v>
      </c>
      <c r="AA22" s="31" t="inlineStr">
        <is>
          <t>IncI2</t>
        </is>
      </c>
      <c r="AB22" s="31" t="n"/>
      <c r="AC22" s="25" t="inlineStr">
        <is>
          <t>|mcr-1.1|</t>
        </is>
      </c>
      <c r="AD22" s="19" t="n">
        <v>100</v>
      </c>
      <c r="AE22" s="19" t="n">
        <v>0.25</v>
      </c>
      <c r="AF22" s="19" t="inlineStr">
        <is>
          <t>no</t>
        </is>
      </c>
      <c r="AG22" s="19" t="inlineStr">
        <is>
          <t>Yes</t>
        </is>
      </c>
    </row>
    <row r="23" ht="15" customHeight="1" s="20">
      <c r="A23" s="25" t="inlineStr">
        <is>
          <t>PDT002952001.1</t>
        </is>
      </c>
      <c r="B23" s="25" t="inlineStr">
        <is>
          <t>SAMN44571236</t>
        </is>
      </c>
      <c r="C23" s="25" t="inlineStr">
        <is>
          <t>PRJNA1181821</t>
        </is>
      </c>
      <c r="D23" s="25" t="inlineStr">
        <is>
          <t>GCA_053044255.1</t>
        </is>
      </c>
      <c r="E23" s="25" t="n"/>
      <c r="F23" s="25" t="n"/>
      <c r="G23" s="25" t="inlineStr">
        <is>
          <t>GenBank assembly (no reads)</t>
        </is>
      </c>
      <c r="H23" s="25" t="inlineStr">
        <is>
          <t>23-MO00770-1</t>
        </is>
      </c>
      <c r="I23" s="25" t="inlineStr">
        <is>
          <t>Uganda</t>
        </is>
      </c>
      <c r="J23" s="25" t="n"/>
      <c r="K23" s="25" t="inlineStr">
        <is>
          <t>2022</t>
        </is>
      </c>
      <c r="L23" s="25" t="inlineStr">
        <is>
          <t>2022</t>
        </is>
      </c>
      <c r="M23" s="25" t="inlineStr">
        <is>
          <t>Poultry</t>
        </is>
      </c>
      <c r="N23" s="25" t="inlineStr">
        <is>
          <t>swab</t>
        </is>
      </c>
      <c r="O23" s="25" t="inlineStr">
        <is>
          <t>Poultry</t>
        </is>
      </c>
      <c r="P23" s="25" t="inlineStr">
        <is>
          <t>Live bird (faeces/cloaca/organ)</t>
        </is>
      </c>
      <c r="Q23" s="25" t="n"/>
      <c r="R23" s="25" t="inlineStr">
        <is>
          <t>mcr-1.1</t>
        </is>
      </c>
      <c r="S23" s="25" t="n"/>
      <c r="T23" s="25" t="n"/>
      <c r="U23" s="25" t="n"/>
      <c r="V23" s="25" t="n"/>
      <c r="W23" s="25" t="n">
        <v>207</v>
      </c>
      <c r="X23" s="25" t="n">
        <v>8</v>
      </c>
      <c r="Y23" s="25" t="inlineStr">
        <is>
          <t>aac(3)-IId aph(6)-Id blaTEM-1 dfrA14 mcr-1.1 qnrS1 sul3 tet(A)</t>
        </is>
      </c>
      <c r="Z23" s="31" t="n">
        <v>155</v>
      </c>
      <c r="AA23" s="31" t="inlineStr">
        <is>
          <t>IncI2</t>
        </is>
      </c>
      <c r="AB23" s="31" t="n"/>
      <c r="AC23" s="25" t="inlineStr">
        <is>
          <t>|mcr-1.1|</t>
        </is>
      </c>
      <c r="AD23" s="19" t="n">
        <v>100</v>
      </c>
      <c r="AE23" s="19" t="n">
        <v>0.28</v>
      </c>
      <c r="AF23" s="19" t="inlineStr">
        <is>
          <t>no</t>
        </is>
      </c>
      <c r="AG23" s="19" t="inlineStr">
        <is>
          <t>Yes</t>
        </is>
      </c>
    </row>
    <row r="24" ht="15" customHeight="1" s="20">
      <c r="A24" s="25" t="inlineStr">
        <is>
          <t>PDT002952000.1</t>
        </is>
      </c>
      <c r="B24" s="25" t="inlineStr">
        <is>
          <t>SAMN44571234</t>
        </is>
      </c>
      <c r="C24" s="25" t="inlineStr">
        <is>
          <t>PRJNA1181821</t>
        </is>
      </c>
      <c r="D24" s="25" t="inlineStr">
        <is>
          <t>GCA_053044235.1</t>
        </is>
      </c>
      <c r="E24" s="25" t="n"/>
      <c r="F24" s="25" t="n"/>
      <c r="G24" s="25" t="inlineStr">
        <is>
          <t>GenBank assembly (no reads)</t>
        </is>
      </c>
      <c r="H24" s="25" t="inlineStr">
        <is>
          <t>23-MO00728-1</t>
        </is>
      </c>
      <c r="I24" s="25" t="inlineStr">
        <is>
          <t>Uganda</t>
        </is>
      </c>
      <c r="J24" s="25" t="n"/>
      <c r="K24" s="25" t="inlineStr">
        <is>
          <t>2022</t>
        </is>
      </c>
      <c r="L24" s="25" t="inlineStr">
        <is>
          <t>2022</t>
        </is>
      </c>
      <c r="M24" s="25" t="inlineStr">
        <is>
          <t>Poultry</t>
        </is>
      </c>
      <c r="N24" s="25" t="inlineStr">
        <is>
          <t>swab</t>
        </is>
      </c>
      <c r="O24" s="25" t="inlineStr">
        <is>
          <t>Poultry</t>
        </is>
      </c>
      <c r="P24" s="25" t="inlineStr">
        <is>
          <t>Live bird (faeces/cloaca/organ)</t>
        </is>
      </c>
      <c r="Q24" s="25" t="n"/>
      <c r="R24" s="25" t="inlineStr">
        <is>
          <t>mcr-1.1</t>
        </is>
      </c>
      <c r="S24" s="25" t="n"/>
      <c r="T24" s="25" t="n"/>
      <c r="U24" s="25" t="n"/>
      <c r="V24" s="25" t="n"/>
      <c r="W24" s="25" t="n">
        <v>205</v>
      </c>
      <c r="X24" s="25" t="n">
        <v>8</v>
      </c>
      <c r="Y24" s="25" t="inlineStr">
        <is>
          <t>aac(3)-IId aph(6)-Id blaTEM-1 dfrA14 mcr-1.1 qnrS1 sul3 tet(A)</t>
        </is>
      </c>
      <c r="Z24" s="31" t="n">
        <v>155</v>
      </c>
      <c r="AA24" s="31" t="inlineStr">
        <is>
          <t>IncI2</t>
        </is>
      </c>
      <c r="AB24" s="31" t="n"/>
      <c r="AC24" s="25" t="inlineStr">
        <is>
          <t>|mcr-1.1|</t>
        </is>
      </c>
      <c r="AD24" s="19" t="n">
        <v>100</v>
      </c>
      <c r="AE24" s="19" t="n">
        <v>0.25</v>
      </c>
      <c r="AF24" s="19" t="inlineStr">
        <is>
          <t>no</t>
        </is>
      </c>
      <c r="AG24" s="19" t="inlineStr">
        <is>
          <t>Yes</t>
        </is>
      </c>
    </row>
    <row r="25" ht="15" customHeight="1" s="20">
      <c r="A25" s="25" t="inlineStr">
        <is>
          <t>PDT002951999.1</t>
        </is>
      </c>
      <c r="B25" s="25" t="inlineStr">
        <is>
          <t>SAMN44571235</t>
        </is>
      </c>
      <c r="C25" s="25" t="inlineStr">
        <is>
          <t>PRJNA1181821</t>
        </is>
      </c>
      <c r="D25" s="25" t="inlineStr">
        <is>
          <t>GCA_053044225.1</t>
        </is>
      </c>
      <c r="E25" s="25" t="n"/>
      <c r="F25" s="25" t="n"/>
      <c r="G25" s="25" t="inlineStr">
        <is>
          <t>GenBank assembly (no reads)</t>
        </is>
      </c>
      <c r="H25" s="25" t="inlineStr">
        <is>
          <t>23-MO00748-1</t>
        </is>
      </c>
      <c r="I25" s="25" t="inlineStr">
        <is>
          <t>Uganda</t>
        </is>
      </c>
      <c r="J25" s="25" t="n"/>
      <c r="K25" s="25" t="inlineStr">
        <is>
          <t>2022</t>
        </is>
      </c>
      <c r="L25" s="25" t="inlineStr">
        <is>
          <t>2022</t>
        </is>
      </c>
      <c r="M25" s="25" t="inlineStr">
        <is>
          <t>Poultry</t>
        </is>
      </c>
      <c r="N25" s="25" t="inlineStr">
        <is>
          <t>swab</t>
        </is>
      </c>
      <c r="O25" s="25" t="inlineStr">
        <is>
          <t>Poultry</t>
        </is>
      </c>
      <c r="P25" s="25" t="inlineStr">
        <is>
          <t>Live bird (faeces/cloaca/organ)</t>
        </is>
      </c>
      <c r="Q25" s="25" t="n"/>
      <c r="R25" s="25" t="inlineStr">
        <is>
          <t>mcr-1.1</t>
        </is>
      </c>
      <c r="S25" s="25" t="n"/>
      <c r="T25" s="25" t="n"/>
      <c r="U25" s="25" t="n"/>
      <c r="V25" s="25" t="n"/>
      <c r="W25" s="25" t="n">
        <v>232</v>
      </c>
      <c r="X25" s="25" t="n">
        <v>8</v>
      </c>
      <c r="Y25" s="25" t="inlineStr">
        <is>
          <t>aac(3)-IId aph(6)-Id blaTEM-1 dfrA14 mcr-1.1 qnrS1 sul3 tet(A)</t>
        </is>
      </c>
      <c r="Z25" s="31" t="n">
        <v>155</v>
      </c>
      <c r="AA25" s="31" t="inlineStr">
        <is>
          <t>IncI2</t>
        </is>
      </c>
      <c r="AB25" s="31" t="n"/>
      <c r="AC25" s="25" t="inlineStr">
        <is>
          <t>|mcr-1.1|</t>
        </is>
      </c>
      <c r="AD25" s="19" t="n">
        <v>100</v>
      </c>
      <c r="AE25" s="19" t="n">
        <v>0.27</v>
      </c>
      <c r="AF25" s="19" t="inlineStr">
        <is>
          <t>no</t>
        </is>
      </c>
      <c r="AG25" s="19" t="inlineStr">
        <is>
          <t>Yes</t>
        </is>
      </c>
    </row>
    <row r="26" ht="15" customHeight="1" s="20">
      <c r="A26" s="25" t="inlineStr">
        <is>
          <t>PDT002921590.1</t>
        </is>
      </c>
      <c r="B26" s="25" t="inlineStr">
        <is>
          <t>SAMN47596258</t>
        </is>
      </c>
      <c r="C26" s="25" t="inlineStr">
        <is>
          <t>PRJNA1242575</t>
        </is>
      </c>
      <c r="D26" s="25" t="inlineStr">
        <is>
          <t>GCA_052587725.1</t>
        </is>
      </c>
      <c r="E26" s="25" t="inlineStr">
        <is>
          <t>SRR32899019</t>
        </is>
      </c>
      <c r="F26" s="25" t="n"/>
      <c r="G26" s="25" t="inlineStr">
        <is>
          <t>SRA Illumina PE reads</t>
        </is>
      </c>
      <c r="H26" s="25" t="inlineStr">
        <is>
          <t>65321</t>
        </is>
      </c>
      <c r="I26" s="25" t="inlineStr">
        <is>
          <t>Tunisia</t>
        </is>
      </c>
      <c r="J26" s="25" t="n"/>
      <c r="K26" s="25" t="inlineStr">
        <is>
          <t>2024</t>
        </is>
      </c>
      <c r="L26" s="25" t="inlineStr">
        <is>
          <t>2024</t>
        </is>
      </c>
      <c r="M26" s="25" t="n"/>
      <c r="N26" s="25" t="inlineStr">
        <is>
          <t>meat</t>
        </is>
      </c>
      <c r="O26" s="25" t="inlineStr">
        <is>
          <t>Food (non-poultry)</t>
        </is>
      </c>
      <c r="P26" s="25" t="n"/>
      <c r="Q26" s="25" t="n"/>
      <c r="R26" s="25" t="inlineStr">
        <is>
          <t>mcr-1.1</t>
        </is>
      </c>
      <c r="S26" s="25" t="n"/>
      <c r="T26" s="25" t="inlineStr">
        <is>
          <t>blaCTX-M-1</t>
        </is>
      </c>
      <c r="U26" s="25" t="n"/>
      <c r="V26" s="25" t="n"/>
      <c r="W26" s="25" t="n">
        <v>225</v>
      </c>
      <c r="X26" s="25" t="n">
        <v>10</v>
      </c>
      <c r="Y26" s="25" t="inlineStr">
        <is>
          <t>aadA1 blaCTX-M-1 catA1 cyaA_S352T dfrA1 floR gyrA_D87N gyrA_S83L mcr-1.1 mph(B) parC_S80I rdmCL sul1 tet(A)</t>
        </is>
      </c>
      <c r="Z26" s="31" t="n">
        <v>3941</v>
      </c>
      <c r="AA26" s="31" t="inlineStr">
        <is>
          <t>IncHI2A (MOB-Recon bin)</t>
        </is>
      </c>
      <c r="AB26" s="31" t="inlineStr">
        <is>
          <t>mcr contig only 1,761 bp; bin assignment is tentative. mcr-1 call is BLASTX (96.9% coverage, 100.00% identity); check before counting. Galaxy AMRFinderPlus call (mcr-1) differs from PD (mcr-1.1).</t>
        </is>
      </c>
      <c r="AC26" s="25" t="inlineStr">
        <is>
          <t>|mcr-1.1|</t>
        </is>
      </c>
      <c r="AD26" s="19" t="n">
        <v>100</v>
      </c>
      <c r="AE26" s="19" t="n">
        <v>0.79</v>
      </c>
      <c r="AF26" s="19" t="inlineStr">
        <is>
          <t>no</t>
        </is>
      </c>
      <c r="AG26" s="19" t="inlineStr">
        <is>
          <t>Yes</t>
        </is>
      </c>
    </row>
    <row r="27" ht="15" customHeight="1" s="20">
      <c r="A27" s="25" t="inlineStr">
        <is>
          <t>PDT002921586.1</t>
        </is>
      </c>
      <c r="B27" s="25" t="inlineStr">
        <is>
          <t>SAMN47596259</t>
        </is>
      </c>
      <c r="C27" s="25" t="inlineStr">
        <is>
          <t>PRJNA1242575</t>
        </is>
      </c>
      <c r="D27" s="25" t="inlineStr">
        <is>
          <t>GCA_052587645.1</t>
        </is>
      </c>
      <c r="E27" s="25" t="inlineStr">
        <is>
          <t>SRR32899008</t>
        </is>
      </c>
      <c r="F27" s="25" t="n"/>
      <c r="G27" s="25" t="inlineStr">
        <is>
          <t>SRA Illumina PE reads</t>
        </is>
      </c>
      <c r="H27" s="25" t="inlineStr">
        <is>
          <t>65324</t>
        </is>
      </c>
      <c r="I27" s="25" t="inlineStr">
        <is>
          <t>Tunisia</t>
        </is>
      </c>
      <c r="J27" s="25" t="n"/>
      <c r="K27" s="25" t="inlineStr">
        <is>
          <t>2024</t>
        </is>
      </c>
      <c r="L27" s="25" t="inlineStr">
        <is>
          <t>2024</t>
        </is>
      </c>
      <c r="M27" s="25" t="n"/>
      <c r="N27" s="25" t="inlineStr">
        <is>
          <t>meat</t>
        </is>
      </c>
      <c r="O27" s="25" t="inlineStr">
        <is>
          <t>Food (non-poultry)</t>
        </is>
      </c>
      <c r="P27" s="25" t="n"/>
      <c r="Q27" s="25" t="n"/>
      <c r="R27" s="25" t="inlineStr">
        <is>
          <t>mcr-1.1</t>
        </is>
      </c>
      <c r="S27" s="25" t="n"/>
      <c r="T27" s="25" t="inlineStr">
        <is>
          <t>blaCTX-M-1</t>
        </is>
      </c>
      <c r="U27" s="25" t="n"/>
      <c r="V27" s="25" t="n"/>
      <c r="W27" s="25" t="n">
        <v>220</v>
      </c>
      <c r="X27" s="25" t="n">
        <v>10</v>
      </c>
      <c r="Y27" s="25" t="inlineStr">
        <is>
          <t>aadA1 blaCTX-M-1 catA1 cyaA_S352T dfrA1 floR gyrA_D87N gyrA_S83L mcr-1.1 mph(B) parC_S80I rdmCL sul1 tet(A)</t>
        </is>
      </c>
      <c r="Z27" s="31" t="n">
        <v>3941</v>
      </c>
      <c r="AA27" s="31" t="inlineStr">
        <is>
          <t>IncHI2A (MOB-Recon bin)</t>
        </is>
      </c>
      <c r="AB27" s="31" t="inlineStr">
        <is>
          <t>mcr contig only 1,761 bp; bin assignment is tentative. mcr-1 call is BLASTX (96.9% coverage, 100.00% identity); check before counting. Galaxy AMRFinderPlus call (mcr-1) differs from PD (mcr-1.1).</t>
        </is>
      </c>
      <c r="AC27" s="25" t="inlineStr">
        <is>
          <t>|mcr-1.1|</t>
        </is>
      </c>
      <c r="AD27" s="19" t="n">
        <v>100</v>
      </c>
      <c r="AE27" s="19" t="n">
        <v>0.76</v>
      </c>
      <c r="AF27" s="19" t="inlineStr">
        <is>
          <t>no</t>
        </is>
      </c>
      <c r="AG27" s="19" t="inlineStr">
        <is>
          <t>Yes</t>
        </is>
      </c>
    </row>
    <row r="28" ht="15" customHeight="1" s="20">
      <c r="A28" s="25" t="inlineStr">
        <is>
          <t>PDT002921584.1</t>
        </is>
      </c>
      <c r="B28" s="25" t="inlineStr">
        <is>
          <t>SAMN47596263</t>
        </is>
      </c>
      <c r="C28" s="25" t="inlineStr">
        <is>
          <t>PRJNA1242575</t>
        </is>
      </c>
      <c r="D28" s="25" t="inlineStr">
        <is>
          <t>GCA_052587485.1</t>
        </is>
      </c>
      <c r="E28" s="25" t="inlineStr">
        <is>
          <t>SRR32898997</t>
        </is>
      </c>
      <c r="F28" s="25" t="n"/>
      <c r="G28" s="25" t="inlineStr">
        <is>
          <t>SRA Illumina PE reads</t>
        </is>
      </c>
      <c r="H28" s="25" t="inlineStr">
        <is>
          <t>65334</t>
        </is>
      </c>
      <c r="I28" s="25" t="inlineStr">
        <is>
          <t>Tunisia</t>
        </is>
      </c>
      <c r="J28" s="25" t="n"/>
      <c r="K28" s="25" t="inlineStr">
        <is>
          <t>2024</t>
        </is>
      </c>
      <c r="L28" s="25" t="inlineStr">
        <is>
          <t>2024</t>
        </is>
      </c>
      <c r="M28" s="25" t="inlineStr">
        <is>
          <t>meat</t>
        </is>
      </c>
      <c r="N28" s="25" t="n"/>
      <c r="O28" s="25" t="inlineStr">
        <is>
          <t>Food (non-poultry)</t>
        </is>
      </c>
      <c r="P28" s="25" t="n"/>
      <c r="Q28" s="25" t="n"/>
      <c r="R28" s="25" t="inlineStr">
        <is>
          <t>mcr-1.1</t>
        </is>
      </c>
      <c r="S28" s="25" t="n"/>
      <c r="T28" s="25" t="inlineStr">
        <is>
          <t>blaCTX-M-55</t>
        </is>
      </c>
      <c r="U28" s="25" t="n"/>
      <c r="V28" s="25" t="n"/>
      <c r="W28" s="25" t="n">
        <v>197</v>
      </c>
      <c r="X28" s="25" t="n">
        <v>9</v>
      </c>
      <c r="Y28" s="25" t="inlineStr">
        <is>
          <t>aadA5 aph(3'')-Ib aph(6)-Id blaCTX-M-55 cirA_Q501Ter dfrA17 floR gyrA_D87N gyrA_S83L mcr-1.1 ompF_A233LfsTer7 parC_S80I sul2 tet(A)</t>
        </is>
      </c>
      <c r="Z28" s="31" t="n">
        <v>6448</v>
      </c>
      <c r="AA28" s="31" t="inlineStr">
        <is>
          <t>IncX4</t>
        </is>
      </c>
      <c r="AB28" s="31" t="n"/>
      <c r="AC28" s="25" t="inlineStr">
        <is>
          <t>|mcr-1.1|</t>
        </is>
      </c>
      <c r="AD28" s="19" t="n">
        <v>100</v>
      </c>
      <c r="AE28" s="19" t="n">
        <v>0.14</v>
      </c>
      <c r="AF28" s="19" t="inlineStr">
        <is>
          <t>no</t>
        </is>
      </c>
      <c r="AG28" s="19" t="inlineStr">
        <is>
          <t>Yes</t>
        </is>
      </c>
    </row>
    <row r="29" ht="15" customHeight="1" s="20">
      <c r="A29" s="25" t="inlineStr">
        <is>
          <t>PDT002834777.1</t>
        </is>
      </c>
      <c r="B29" s="25" t="inlineStr">
        <is>
          <t>SAMN47476602</t>
        </is>
      </c>
      <c r="C29" s="25" t="inlineStr">
        <is>
          <t>PRJNA1238567</t>
        </is>
      </c>
      <c r="D29" s="25" t="inlineStr">
        <is>
          <t>GCA_051305755.1</t>
        </is>
      </c>
      <c r="E29" s="25" t="n"/>
      <c r="F29" s="25" t="n"/>
      <c r="G29" s="25" t="inlineStr">
        <is>
          <t>GenBank assembly (no reads)</t>
        </is>
      </c>
      <c r="H29" s="25" t="inlineStr">
        <is>
          <t>PEco_TUN_65453</t>
        </is>
      </c>
      <c r="I29" s="25" t="inlineStr">
        <is>
          <t>Tunisia</t>
        </is>
      </c>
      <c r="J29" s="25" t="inlineStr">
        <is>
          <t>Sousse</t>
        </is>
      </c>
      <c r="K29" s="25" t="inlineStr">
        <is>
          <t>2023</t>
        </is>
      </c>
      <c r="L29" s="25" t="inlineStr">
        <is>
          <t>2023-07-26</t>
        </is>
      </c>
      <c r="M29" s="25" t="inlineStr">
        <is>
          <t>Homo sapiens</t>
        </is>
      </c>
      <c r="N29" s="25" t="inlineStr">
        <is>
          <t>prosthetic joint infection</t>
        </is>
      </c>
      <c r="O29" s="25" t="inlineStr">
        <is>
          <t>Human</t>
        </is>
      </c>
      <c r="P29" s="25" t="n"/>
      <c r="Q29" s="25" t="inlineStr">
        <is>
          <t>clinical</t>
        </is>
      </c>
      <c r="R29" s="25" t="inlineStr">
        <is>
          <t>mcr-1.1</t>
        </is>
      </c>
      <c r="S29" s="25" t="n"/>
      <c r="T29" s="25" t="n"/>
      <c r="U29" s="25" t="n"/>
      <c r="V29" s="25" t="n"/>
      <c r="W29" s="25" t="n">
        <v>8</v>
      </c>
      <c r="X29" s="25" t="n">
        <v>5</v>
      </c>
      <c r="Y29" s="25" t="inlineStr">
        <is>
          <t>blaCMY-2 blaTEM-1 cirA_I160SfsTer34 floR gyrA_D87N gyrA_S83L mcr-1.1 parC_S80I sul2</t>
        </is>
      </c>
      <c r="Z29" s="31" t="n">
        <v>224</v>
      </c>
      <c r="AA29" s="31" t="inlineStr">
        <is>
          <t>IncI2</t>
        </is>
      </c>
      <c r="AB29" s="31" t="n"/>
      <c r="AC29" s="25" t="inlineStr">
        <is>
          <t>|mcr-1.1|</t>
        </is>
      </c>
      <c r="AD29" s="19" t="n">
        <v>100</v>
      </c>
      <c r="AE29" s="19" t="n">
        <v>0.21</v>
      </c>
      <c r="AF29" s="19" t="inlineStr">
        <is>
          <t>no</t>
        </is>
      </c>
      <c r="AG29" s="19" t="inlineStr">
        <is>
          <t>Yes</t>
        </is>
      </c>
    </row>
    <row r="30" ht="15" customHeight="1" s="20">
      <c r="A30" s="25" t="inlineStr">
        <is>
          <t>PDT002807617.1</t>
        </is>
      </c>
      <c r="B30" s="25" t="inlineStr">
        <is>
          <t>SAMN48947222</t>
        </is>
      </c>
      <c r="C30" s="25" t="inlineStr">
        <is>
          <t>PRJNA1273464</t>
        </is>
      </c>
      <c r="D30" s="25" t="inlineStr">
        <is>
          <t>GCA_050939535.1</t>
        </is>
      </c>
      <c r="E30" s="25" t="n"/>
      <c r="F30" s="25" t="n"/>
      <c r="G30" s="25" t="inlineStr">
        <is>
          <t>GenBank assembly (no reads)</t>
        </is>
      </c>
      <c r="H30" s="25" t="inlineStr">
        <is>
          <t>PS51</t>
        </is>
      </c>
      <c r="I30" s="25" t="inlineStr">
        <is>
          <t>Algeria</t>
        </is>
      </c>
      <c r="J30" s="25" t="inlineStr">
        <is>
          <t>Guelma</t>
        </is>
      </c>
      <c r="K30" s="25" t="inlineStr">
        <is>
          <t>2022</t>
        </is>
      </c>
      <c r="L30" s="25" t="inlineStr">
        <is>
          <t>2022-12-01</t>
        </is>
      </c>
      <c r="M30" s="25" t="n"/>
      <c r="N30" s="25" t="inlineStr">
        <is>
          <t>Poultry farm</t>
        </is>
      </c>
      <c r="O30" s="25" t="inlineStr">
        <is>
          <t>Poultry</t>
        </is>
      </c>
      <c r="P30" s="25" t="inlineStr">
        <is>
          <t>Poultry farm environment</t>
        </is>
      </c>
      <c r="Q30" s="25" t="inlineStr">
        <is>
          <t>environmental/other</t>
        </is>
      </c>
      <c r="R30" s="25" t="inlineStr">
        <is>
          <t>mcr-1.1</t>
        </is>
      </c>
      <c r="S30" s="25" t="n"/>
      <c r="T30" s="25" t="n"/>
      <c r="U30" s="25" t="n"/>
      <c r="V30" s="25" t="n"/>
      <c r="W30" s="25" t="n">
        <v>127</v>
      </c>
      <c r="X30" s="25" t="n">
        <v>2</v>
      </c>
      <c r="Y30" s="25" t="inlineStr">
        <is>
          <t>cirA_W243Ter gyrA_S83L mcr-1.1 tet(A)</t>
        </is>
      </c>
      <c r="Z30" s="31" t="n">
        <v>616</v>
      </c>
      <c r="AA30" s="31" t="inlineStr">
        <is>
          <t>IncI2</t>
        </is>
      </c>
      <c r="AB30" s="31" t="n"/>
      <c r="AC30" s="25" t="inlineStr">
        <is>
          <t>|mcr-1.1|</t>
        </is>
      </c>
      <c r="AD30" s="19" t="n">
        <v>100</v>
      </c>
      <c r="AE30" s="19" t="n">
        <v>1.91</v>
      </c>
      <c r="AF30" s="19" t="inlineStr">
        <is>
          <t>no</t>
        </is>
      </c>
      <c r="AG30" s="19" t="inlineStr">
        <is>
          <t>Yes</t>
        </is>
      </c>
    </row>
    <row r="31" ht="15" customHeight="1" s="20">
      <c r="A31" s="25" t="inlineStr">
        <is>
          <t>PDT002807616.1</t>
        </is>
      </c>
      <c r="B31" s="25" t="inlineStr">
        <is>
          <t>SAMN48947229</t>
        </is>
      </c>
      <c r="C31" s="25" t="inlineStr">
        <is>
          <t>PRJNA1273464</t>
        </is>
      </c>
      <c r="D31" s="25" t="inlineStr">
        <is>
          <t>GCA_050939515.1</t>
        </is>
      </c>
      <c r="E31" s="25" t="n"/>
      <c r="F31" s="25" t="n"/>
      <c r="G31" s="25" t="inlineStr">
        <is>
          <t>GenBank assembly (no reads)</t>
        </is>
      </c>
      <c r="H31" s="25" t="inlineStr">
        <is>
          <t>S11</t>
        </is>
      </c>
      <c r="I31" s="25" t="inlineStr">
        <is>
          <t>Algeria</t>
        </is>
      </c>
      <c r="J31" s="25" t="inlineStr">
        <is>
          <t>Guelma</t>
        </is>
      </c>
      <c r="K31" s="25" t="inlineStr">
        <is>
          <t>2022</t>
        </is>
      </c>
      <c r="L31" s="25" t="inlineStr">
        <is>
          <t>2022-02-01</t>
        </is>
      </c>
      <c r="M31" s="25" t="n"/>
      <c r="N31" s="25" t="inlineStr">
        <is>
          <t>Poultry farm</t>
        </is>
      </c>
      <c r="O31" s="25" t="inlineStr">
        <is>
          <t>Poultry</t>
        </is>
      </c>
      <c r="P31" s="25" t="inlineStr">
        <is>
          <t>Poultry farm environment</t>
        </is>
      </c>
      <c r="Q31" s="25" t="inlineStr">
        <is>
          <t>environmental/other</t>
        </is>
      </c>
      <c r="R31" s="25" t="inlineStr">
        <is>
          <t>mcr-1.1</t>
        </is>
      </c>
      <c r="S31" s="25" t="n"/>
      <c r="T31" s="25" t="n"/>
      <c r="U31" s="25" t="n"/>
      <c r="V31" s="25" t="n"/>
      <c r="W31" s="25" t="n">
        <v>185</v>
      </c>
      <c r="X31" s="25" t="n">
        <v>2</v>
      </c>
      <c r="Y31" s="25" t="inlineStr">
        <is>
          <t>cyaA_S352T gyrA_D87N gyrA_S83L mcr-1.1 parC_S80I tet(A)</t>
        </is>
      </c>
      <c r="Z31" s="31" t="n">
        <v>93</v>
      </c>
      <c r="AA31" s="31" t="inlineStr">
        <is>
          <t>IncI2 (MOB-Recon bin)</t>
        </is>
      </c>
      <c r="AB31" s="31" t="n"/>
      <c r="AC31" s="25" t="inlineStr">
        <is>
          <t>|mcr-1.1|</t>
        </is>
      </c>
      <c r="AD31" s="19" t="n">
        <v>100</v>
      </c>
      <c r="AE31" s="19" t="n">
        <v>0.7</v>
      </c>
      <c r="AF31" s="19" t="inlineStr">
        <is>
          <t>no</t>
        </is>
      </c>
      <c r="AG31" s="19" t="inlineStr">
        <is>
          <t>Yes</t>
        </is>
      </c>
    </row>
    <row r="32" ht="15" customHeight="1" s="20">
      <c r="A32" s="25" t="inlineStr">
        <is>
          <t>PDT002807611.1</t>
        </is>
      </c>
      <c r="B32" s="25" t="inlineStr">
        <is>
          <t>SAMN48947223</t>
        </is>
      </c>
      <c r="C32" s="25" t="inlineStr">
        <is>
          <t>PRJNA1273464</t>
        </is>
      </c>
      <c r="D32" s="25" t="inlineStr">
        <is>
          <t>GCA_050939415.1</t>
        </is>
      </c>
      <c r="E32" s="25" t="n"/>
      <c r="F32" s="25" t="n"/>
      <c r="G32" s="25" t="inlineStr">
        <is>
          <t>GenBank assembly (no reads)</t>
        </is>
      </c>
      <c r="H32" s="25" t="inlineStr">
        <is>
          <t>PS52</t>
        </is>
      </c>
      <c r="I32" s="25" t="inlineStr">
        <is>
          <t>Algeria</t>
        </is>
      </c>
      <c r="J32" s="25" t="inlineStr">
        <is>
          <t>Guelma</t>
        </is>
      </c>
      <c r="K32" s="25" t="inlineStr">
        <is>
          <t>2022</t>
        </is>
      </c>
      <c r="L32" s="25" t="inlineStr">
        <is>
          <t>2022-12-01</t>
        </is>
      </c>
      <c r="M32" s="25" t="n"/>
      <c r="N32" s="25" t="inlineStr">
        <is>
          <t>Poultry farm</t>
        </is>
      </c>
      <c r="O32" s="25" t="inlineStr">
        <is>
          <t>Poultry</t>
        </is>
      </c>
      <c r="P32" s="25" t="inlineStr">
        <is>
          <t>Poultry farm environment</t>
        </is>
      </c>
      <c r="Q32" s="25" t="inlineStr">
        <is>
          <t>environmental/other</t>
        </is>
      </c>
      <c r="R32" s="25" t="inlineStr">
        <is>
          <t>mcr-1.1</t>
        </is>
      </c>
      <c r="S32" s="25" t="n"/>
      <c r="T32" s="25" t="n"/>
      <c r="U32" s="25" t="n"/>
      <c r="V32" s="25" t="n"/>
      <c r="W32" s="25" t="n">
        <v>232</v>
      </c>
      <c r="X32" s="25" t="n">
        <v>7</v>
      </c>
      <c r="Y32" s="25" t="inlineStr">
        <is>
          <t>blaTEM-1 catA1 cirA_Q42Ter dfrA14 gyrA_D87N gyrA_S83L mcr-1.1 mph(A) nfsA_Q195Ter nfsB_F167LfsTer11 parC_S80I sul2 tet(A)</t>
        </is>
      </c>
      <c r="Z32" s="31" t="n">
        <v>101</v>
      </c>
      <c r="AA32" s="31" t="inlineStr">
        <is>
          <t>IncI2</t>
        </is>
      </c>
      <c r="AB32" s="31" t="n"/>
      <c r="AC32" s="25" t="inlineStr">
        <is>
          <t>|mcr-1.1|</t>
        </is>
      </c>
      <c r="AD32" s="19" t="n">
        <v>100</v>
      </c>
      <c r="AE32" s="19" t="n">
        <v>0.68</v>
      </c>
      <c r="AF32" s="19" t="inlineStr">
        <is>
          <t>no</t>
        </is>
      </c>
      <c r="AG32" s="19" t="inlineStr">
        <is>
          <t>Yes</t>
        </is>
      </c>
    </row>
    <row r="33" ht="15" customHeight="1" s="20">
      <c r="A33" s="25" t="inlineStr">
        <is>
          <t>PDT002807609.1</t>
        </is>
      </c>
      <c r="B33" s="25" t="inlineStr">
        <is>
          <t>SAMN48947225</t>
        </is>
      </c>
      <c r="C33" s="25" t="inlineStr">
        <is>
          <t>PRJNA1273464</t>
        </is>
      </c>
      <c r="D33" s="25" t="inlineStr">
        <is>
          <t>GCA_050939375.1</t>
        </is>
      </c>
      <c r="E33" s="25" t="n"/>
      <c r="F33" s="25" t="n"/>
      <c r="G33" s="25" t="inlineStr">
        <is>
          <t>GenBank assembly (no reads)</t>
        </is>
      </c>
      <c r="H33" s="25" t="inlineStr">
        <is>
          <t>PS54</t>
        </is>
      </c>
      <c r="I33" s="25" t="inlineStr">
        <is>
          <t>Algeria</t>
        </is>
      </c>
      <c r="J33" s="25" t="inlineStr">
        <is>
          <t>Guelma</t>
        </is>
      </c>
      <c r="K33" s="25" t="inlineStr">
        <is>
          <t>2022</t>
        </is>
      </c>
      <c r="L33" s="25" t="inlineStr">
        <is>
          <t>2022-12-01</t>
        </is>
      </c>
      <c r="M33" s="25" t="n"/>
      <c r="N33" s="25" t="inlineStr">
        <is>
          <t>Poultry farm</t>
        </is>
      </c>
      <c r="O33" s="25" t="inlineStr">
        <is>
          <t>Poultry</t>
        </is>
      </c>
      <c r="P33" s="25" t="inlineStr">
        <is>
          <t>Poultry farm environment</t>
        </is>
      </c>
      <c r="Q33" s="25" t="inlineStr">
        <is>
          <t>environmental/other</t>
        </is>
      </c>
      <c r="R33" s="25" t="inlineStr">
        <is>
          <t>mcr-1.1</t>
        </is>
      </c>
      <c r="S33" s="25" t="n"/>
      <c r="T33" s="25" t="n"/>
      <c r="U33" s="25" t="n"/>
      <c r="V33" s="25" t="n"/>
      <c r="W33" s="25" t="n">
        <v>146</v>
      </c>
      <c r="X33" s="25" t="n">
        <v>2</v>
      </c>
      <c r="Y33" s="25" t="inlineStr">
        <is>
          <t>cirA_W243Ter gyrA_S83L mcr-1.1 tet(A)</t>
        </is>
      </c>
      <c r="Z33" s="31" t="n">
        <v>616</v>
      </c>
      <c r="AA33" s="31" t="inlineStr">
        <is>
          <t>IncI2</t>
        </is>
      </c>
      <c r="AB33" s="31" t="n"/>
      <c r="AC33" s="25" t="inlineStr">
        <is>
          <t>|mcr-1.1|</t>
        </is>
      </c>
      <c r="AD33" s="19" t="n">
        <v>100</v>
      </c>
      <c r="AE33" s="19" t="n">
        <v>0.75</v>
      </c>
      <c r="AF33" s="19" t="inlineStr">
        <is>
          <t>no</t>
        </is>
      </c>
      <c r="AG33" s="19" t="inlineStr">
        <is>
          <t>Yes</t>
        </is>
      </c>
    </row>
    <row r="34" ht="15" customHeight="1" s="20">
      <c r="A34" s="25" t="inlineStr">
        <is>
          <t>PDT002807607.1</t>
        </is>
      </c>
      <c r="B34" s="25" t="inlineStr">
        <is>
          <t>SAMN48947216</t>
        </is>
      </c>
      <c r="C34" s="25" t="inlineStr">
        <is>
          <t>PRJNA1273464</t>
        </is>
      </c>
      <c r="D34" s="25" t="inlineStr">
        <is>
          <t>GCA_050939335.1</t>
        </is>
      </c>
      <c r="E34" s="25" t="n"/>
      <c r="F34" s="25" t="n"/>
      <c r="G34" s="25" t="inlineStr">
        <is>
          <t>GenBank assembly (no reads)</t>
        </is>
      </c>
      <c r="H34" s="25" t="inlineStr">
        <is>
          <t>PS45</t>
        </is>
      </c>
      <c r="I34" s="25" t="inlineStr">
        <is>
          <t>Algeria</t>
        </is>
      </c>
      <c r="J34" s="25" t="inlineStr">
        <is>
          <t>Guelma</t>
        </is>
      </c>
      <c r="K34" s="25" t="inlineStr">
        <is>
          <t>2022</t>
        </is>
      </c>
      <c r="L34" s="25" t="inlineStr">
        <is>
          <t>2022-12-01</t>
        </is>
      </c>
      <c r="M34" s="25" t="n"/>
      <c r="N34" s="25" t="inlineStr">
        <is>
          <t>Poultry farm</t>
        </is>
      </c>
      <c r="O34" s="25" t="inlineStr">
        <is>
          <t>Poultry</t>
        </is>
      </c>
      <c r="P34" s="25" t="inlineStr">
        <is>
          <t>Poultry farm environment</t>
        </is>
      </c>
      <c r="Q34" s="25" t="inlineStr">
        <is>
          <t>environmental/other</t>
        </is>
      </c>
      <c r="R34" s="25" t="inlineStr">
        <is>
          <t>mcr-1.1</t>
        </is>
      </c>
      <c r="S34" s="25" t="n"/>
      <c r="T34" s="25" t="n"/>
      <c r="U34" s="25" t="n"/>
      <c r="V34" s="25" t="n"/>
      <c r="W34" s="25" t="n">
        <v>123</v>
      </c>
      <c r="X34" s="25" t="n">
        <v>2</v>
      </c>
      <c r="Y34" s="25" t="inlineStr">
        <is>
          <t>cirA_W243Ter gyrA_S83L mcr-1.1 tet(A)</t>
        </is>
      </c>
      <c r="Z34" s="31" t="n">
        <v>616</v>
      </c>
      <c r="AA34" s="31" t="inlineStr">
        <is>
          <t>IncI2</t>
        </is>
      </c>
      <c r="AB34" s="31" t="n"/>
      <c r="AC34" s="25" t="inlineStr">
        <is>
          <t>|mcr-1.1|</t>
        </is>
      </c>
      <c r="AD34" s="19" t="n">
        <v>100</v>
      </c>
      <c r="AE34" s="19" t="n">
        <v>0.93</v>
      </c>
      <c r="AF34" s="19" t="inlineStr">
        <is>
          <t>no</t>
        </is>
      </c>
      <c r="AG34" s="19" t="inlineStr">
        <is>
          <t>Yes</t>
        </is>
      </c>
    </row>
    <row r="35" ht="15" customHeight="1" s="20">
      <c r="A35" s="25" t="inlineStr">
        <is>
          <t>PDT002807606.1</t>
        </is>
      </c>
      <c r="B35" s="25" t="inlineStr">
        <is>
          <t>SAMN48947220</t>
        </is>
      </c>
      <c r="C35" s="25" t="inlineStr">
        <is>
          <t>PRJNA1273464</t>
        </is>
      </c>
      <c r="D35" s="25" t="inlineStr">
        <is>
          <t>GCA_050939315.1</t>
        </is>
      </c>
      <c r="E35" s="25" t="n"/>
      <c r="F35" s="25" t="n"/>
      <c r="G35" s="25" t="inlineStr">
        <is>
          <t>GenBank assembly (no reads)</t>
        </is>
      </c>
      <c r="H35" s="25" t="inlineStr">
        <is>
          <t>PS49</t>
        </is>
      </c>
      <c r="I35" s="25" t="inlineStr">
        <is>
          <t>Algeria</t>
        </is>
      </c>
      <c r="J35" s="25" t="inlineStr">
        <is>
          <t>Guelma</t>
        </is>
      </c>
      <c r="K35" s="25" t="inlineStr">
        <is>
          <t>2022</t>
        </is>
      </c>
      <c r="L35" s="25" t="inlineStr">
        <is>
          <t>2022-12-01</t>
        </is>
      </c>
      <c r="M35" s="25" t="n"/>
      <c r="N35" s="25" t="inlineStr">
        <is>
          <t>Poultry farm</t>
        </is>
      </c>
      <c r="O35" s="25" t="inlineStr">
        <is>
          <t>Poultry</t>
        </is>
      </c>
      <c r="P35" s="25" t="inlineStr">
        <is>
          <t>Poultry farm environment</t>
        </is>
      </c>
      <c r="Q35" s="25" t="inlineStr">
        <is>
          <t>environmental/other</t>
        </is>
      </c>
      <c r="R35" s="25" t="inlineStr">
        <is>
          <t>mcr-1.1</t>
        </is>
      </c>
      <c r="S35" s="25" t="n"/>
      <c r="T35" s="25" t="n"/>
      <c r="U35" s="25" t="n"/>
      <c r="V35" s="25" t="n"/>
      <c r="W35" s="25" t="n">
        <v>164</v>
      </c>
      <c r="X35" s="25" t="n">
        <v>2</v>
      </c>
      <c r="Y35" s="25" t="inlineStr">
        <is>
          <t>cirA_W243Ter gyrA_S83L mcr-1.1 tet(A)</t>
        </is>
      </c>
      <c r="Z35" s="31" t="n">
        <v>616</v>
      </c>
      <c r="AA35" s="31" t="inlineStr">
        <is>
          <t>IncI2 (MOB-Recon bin)</t>
        </is>
      </c>
      <c r="AB35" s="31" t="n"/>
      <c r="AC35" s="25" t="inlineStr">
        <is>
          <t>|mcr-1.1|</t>
        </is>
      </c>
      <c r="AD35" s="19" t="n">
        <v>100</v>
      </c>
      <c r="AE35" s="19" t="n">
        <v>0.9399999999999999</v>
      </c>
      <c r="AF35" s="19" t="inlineStr">
        <is>
          <t>no</t>
        </is>
      </c>
      <c r="AG35" s="19" t="inlineStr">
        <is>
          <t>Yes</t>
        </is>
      </c>
    </row>
    <row r="36" ht="15" customHeight="1" s="20">
      <c r="A36" s="25" t="inlineStr">
        <is>
          <t>PDT002807605.1</t>
        </is>
      </c>
      <c r="B36" s="25" t="inlineStr">
        <is>
          <t>SAMN48947210</t>
        </is>
      </c>
      <c r="C36" s="25" t="inlineStr">
        <is>
          <t>PRJNA1273464</t>
        </is>
      </c>
      <c r="D36" s="25" t="inlineStr">
        <is>
          <t>GCA_050939295.1</t>
        </is>
      </c>
      <c r="E36" s="25" t="n"/>
      <c r="F36" s="25" t="n"/>
      <c r="G36" s="25" t="inlineStr">
        <is>
          <t>GenBank assembly (no reads)</t>
        </is>
      </c>
      <c r="H36" s="25" t="inlineStr">
        <is>
          <t>PS39</t>
        </is>
      </c>
      <c r="I36" s="25" t="inlineStr">
        <is>
          <t>Algeria</t>
        </is>
      </c>
      <c r="J36" s="25" t="inlineStr">
        <is>
          <t>Guelma</t>
        </is>
      </c>
      <c r="K36" s="25" t="inlineStr">
        <is>
          <t>2022</t>
        </is>
      </c>
      <c r="L36" s="25" t="inlineStr">
        <is>
          <t>2022-08-01</t>
        </is>
      </c>
      <c r="M36" s="25" t="n"/>
      <c r="N36" s="25" t="inlineStr">
        <is>
          <t>Poultry farm</t>
        </is>
      </c>
      <c r="O36" s="25" t="inlineStr">
        <is>
          <t>Poultry</t>
        </is>
      </c>
      <c r="P36" s="25" t="inlineStr">
        <is>
          <t>Poultry farm environment</t>
        </is>
      </c>
      <c r="Q36" s="25" t="inlineStr">
        <is>
          <t>environmental/other</t>
        </is>
      </c>
      <c r="R36" s="25" t="inlineStr">
        <is>
          <t>mcr-1.1</t>
        </is>
      </c>
      <c r="S36" s="25" t="n"/>
      <c r="T36" s="25" t="n"/>
      <c r="U36" s="25" t="n"/>
      <c r="V36" s="25" t="n"/>
      <c r="W36" s="25" t="n">
        <v>97</v>
      </c>
      <c r="X36" s="25" t="n">
        <v>8</v>
      </c>
      <c r="Y36" s="25" t="inlineStr">
        <is>
          <t>aph(3'')-Ib aph(6)-Id blaTEM-1 cyaA_S352T dfrA7 gyrA_D87N gyrA_S83L mcr-1.1 parC_E84G parC_S80I parE_I355T sul1 sul2 tet(A) uhpT_E350Q</t>
        </is>
      </c>
      <c r="Z36" s="31" t="n">
        <v>354</v>
      </c>
      <c r="AA36" s="31" t="inlineStr">
        <is>
          <t>IncI2</t>
        </is>
      </c>
      <c r="AB36" s="31" t="n"/>
      <c r="AC36" s="25" t="inlineStr">
        <is>
          <t>|mcr-1.1|</t>
        </is>
      </c>
      <c r="AD36" s="19" t="n">
        <v>100</v>
      </c>
      <c r="AE36" s="19" t="n">
        <v>0.6</v>
      </c>
      <c r="AF36" s="19" t="inlineStr">
        <is>
          <t>no</t>
        </is>
      </c>
      <c r="AG36" s="19" t="inlineStr">
        <is>
          <t>Yes</t>
        </is>
      </c>
    </row>
    <row r="37" ht="15" customHeight="1" s="20">
      <c r="A37" s="25" t="inlineStr">
        <is>
          <t>PDT002807602.1</t>
        </is>
      </c>
      <c r="B37" s="25" t="inlineStr">
        <is>
          <t>SAMN48947221</t>
        </is>
      </c>
      <c r="C37" s="25" t="inlineStr">
        <is>
          <t>PRJNA1273464</t>
        </is>
      </c>
      <c r="D37" s="25" t="inlineStr">
        <is>
          <t>GCA_050939235.1</t>
        </is>
      </c>
      <c r="E37" s="25" t="n"/>
      <c r="F37" s="25" t="n"/>
      <c r="G37" s="25" t="inlineStr">
        <is>
          <t>GenBank assembly (no reads)</t>
        </is>
      </c>
      <c r="H37" s="25" t="inlineStr">
        <is>
          <t>PS50</t>
        </is>
      </c>
      <c r="I37" s="25" t="inlineStr">
        <is>
          <t>Algeria</t>
        </is>
      </c>
      <c r="J37" s="25" t="inlineStr">
        <is>
          <t>Guelma</t>
        </is>
      </c>
      <c r="K37" s="25" t="inlineStr">
        <is>
          <t>2022</t>
        </is>
      </c>
      <c r="L37" s="25" t="inlineStr">
        <is>
          <t>2022-12-01</t>
        </is>
      </c>
      <c r="M37" s="25" t="n"/>
      <c r="N37" s="25" t="inlineStr">
        <is>
          <t>Poultry farm</t>
        </is>
      </c>
      <c r="O37" s="25" t="inlineStr">
        <is>
          <t>Poultry</t>
        </is>
      </c>
      <c r="P37" s="25" t="inlineStr">
        <is>
          <t>Poultry farm environment</t>
        </is>
      </c>
      <c r="Q37" s="25" t="inlineStr">
        <is>
          <t>environmental/other</t>
        </is>
      </c>
      <c r="R37" s="25" t="inlineStr">
        <is>
          <t>mcr-1.1</t>
        </is>
      </c>
      <c r="S37" s="25" t="n"/>
      <c r="T37" s="25" t="n"/>
      <c r="U37" s="25" t="n"/>
      <c r="V37" s="25" t="n"/>
      <c r="W37" s="25" t="n">
        <v>209</v>
      </c>
      <c r="X37" s="25" t="n">
        <v>7</v>
      </c>
      <c r="Y37" s="25" t="inlineStr">
        <is>
          <t>blaTEM-1 catA1 cirA_Q42Ter dfrA14 gyrA_D87N gyrA_S83L mcr-1.1 mph(A) nfsA_Q195Ter nfsB_F167LfsTer11 parC_S80I sul2 tet(A)</t>
        </is>
      </c>
      <c r="Z37" s="31" t="n">
        <v>101</v>
      </c>
      <c r="AA37" s="31" t="inlineStr">
        <is>
          <t>IncI2</t>
        </is>
      </c>
      <c r="AB37" s="31" t="n"/>
      <c r="AC37" s="25" t="inlineStr">
        <is>
          <t>|mcr-1.1|</t>
        </is>
      </c>
      <c r="AD37" s="19" t="n">
        <v>100</v>
      </c>
      <c r="AE37" s="19" t="n">
        <v>1.01</v>
      </c>
      <c r="AF37" s="19" t="inlineStr">
        <is>
          <t>no</t>
        </is>
      </c>
      <c r="AG37" s="19" t="inlineStr">
        <is>
          <t>Yes</t>
        </is>
      </c>
    </row>
    <row r="38" ht="15" customHeight="1" s="20">
      <c r="A38" s="25" t="inlineStr">
        <is>
          <t>PDT002807601.1</t>
        </is>
      </c>
      <c r="B38" s="25" t="inlineStr">
        <is>
          <t>SAMN48947182</t>
        </is>
      </c>
      <c r="C38" s="25" t="inlineStr">
        <is>
          <t>PRJNA1273464</t>
        </is>
      </c>
      <c r="D38" s="25" t="inlineStr">
        <is>
          <t>GCA_050939215.1</t>
        </is>
      </c>
      <c r="E38" s="25" t="n"/>
      <c r="F38" s="25" t="n"/>
      <c r="G38" s="25" t="inlineStr">
        <is>
          <t>GenBank assembly (no reads)</t>
        </is>
      </c>
      <c r="H38" s="25" t="inlineStr">
        <is>
          <t>PS02</t>
        </is>
      </c>
      <c r="I38" s="25" t="inlineStr">
        <is>
          <t>Algeria</t>
        </is>
      </c>
      <c r="J38" s="25" t="inlineStr">
        <is>
          <t>Guelma</t>
        </is>
      </c>
      <c r="K38" s="25" t="inlineStr">
        <is>
          <t>2022</t>
        </is>
      </c>
      <c r="L38" s="25" t="inlineStr">
        <is>
          <t>2022-05-01</t>
        </is>
      </c>
      <c r="M38" s="25" t="n"/>
      <c r="N38" s="25" t="inlineStr">
        <is>
          <t>Poultry farm</t>
        </is>
      </c>
      <c r="O38" s="25" t="inlineStr">
        <is>
          <t>Poultry</t>
        </is>
      </c>
      <c r="P38" s="25" t="inlineStr">
        <is>
          <t>Poultry farm environment</t>
        </is>
      </c>
      <c r="Q38" s="25" t="inlineStr">
        <is>
          <t>environmental/other</t>
        </is>
      </c>
      <c r="R38" s="25" t="inlineStr">
        <is>
          <t>mcr-1.1</t>
        </is>
      </c>
      <c r="S38" s="25" t="n"/>
      <c r="T38" s="25" t="n"/>
      <c r="U38" s="25" t="n"/>
      <c r="V38" s="25" t="n"/>
      <c r="W38" s="25" t="n">
        <v>131</v>
      </c>
      <c r="X38" s="25" t="n">
        <v>6</v>
      </c>
      <c r="Y38" s="25" t="inlineStr">
        <is>
          <t>blaTEM-1 fosA4 gyrA_S83L mcr-1.1 mph(A) tet(A) tet(M)</t>
        </is>
      </c>
      <c r="Z38" s="31" t="n">
        <v>162</v>
      </c>
      <c r="AA38" s="31" t="inlineStr">
        <is>
          <t>IncI2</t>
        </is>
      </c>
      <c r="AB38" s="31" t="n"/>
      <c r="AC38" s="25" t="inlineStr">
        <is>
          <t>|mcr-1.1|</t>
        </is>
      </c>
      <c r="AD38" s="19" t="n">
        <v>100</v>
      </c>
      <c r="AE38" s="19" t="n">
        <v>0.39</v>
      </c>
      <c r="AF38" s="19" t="inlineStr">
        <is>
          <t>no</t>
        </is>
      </c>
      <c r="AG38" s="19" t="inlineStr">
        <is>
          <t>Yes</t>
        </is>
      </c>
    </row>
    <row r="39" ht="15" customHeight="1" s="20">
      <c r="A39" s="25" t="inlineStr">
        <is>
          <t>PDT002807600.1</t>
        </is>
      </c>
      <c r="B39" s="25" t="inlineStr">
        <is>
          <t>SAMN48947184</t>
        </is>
      </c>
      <c r="C39" s="25" t="inlineStr">
        <is>
          <t>PRJNA1273464</t>
        </is>
      </c>
      <c r="D39" s="25" t="inlineStr">
        <is>
          <t>GCA_050939195.1</t>
        </is>
      </c>
      <c r="E39" s="25" t="n"/>
      <c r="F39" s="25" t="n"/>
      <c r="G39" s="25" t="inlineStr">
        <is>
          <t>GenBank assembly (no reads)</t>
        </is>
      </c>
      <c r="H39" s="25" t="inlineStr">
        <is>
          <t>PS04</t>
        </is>
      </c>
      <c r="I39" s="25" t="inlineStr">
        <is>
          <t>Algeria</t>
        </is>
      </c>
      <c r="J39" s="25" t="inlineStr">
        <is>
          <t>Guelma</t>
        </is>
      </c>
      <c r="K39" s="25" t="inlineStr">
        <is>
          <t>2022</t>
        </is>
      </c>
      <c r="L39" s="25" t="inlineStr">
        <is>
          <t>2022-07-01</t>
        </is>
      </c>
      <c r="M39" s="25" t="n"/>
      <c r="N39" s="25" t="inlineStr">
        <is>
          <t>Poultry farm</t>
        </is>
      </c>
      <c r="O39" s="25" t="inlineStr">
        <is>
          <t>Poultry</t>
        </is>
      </c>
      <c r="P39" s="25" t="inlineStr">
        <is>
          <t>Poultry farm environment</t>
        </is>
      </c>
      <c r="Q39" s="25" t="inlineStr">
        <is>
          <t>environmental/other</t>
        </is>
      </c>
      <c r="R39" s="25" t="inlineStr">
        <is>
          <t>mcr-1.1</t>
        </is>
      </c>
      <c r="S39" s="25" t="n"/>
      <c r="T39" s="25" t="n"/>
      <c r="U39" s="25" t="n"/>
      <c r="V39" s="25" t="n"/>
      <c r="W39" s="25" t="n">
        <v>179</v>
      </c>
      <c r="X39" s="25" t="n">
        <v>6</v>
      </c>
      <c r="Y39" s="25" t="inlineStr">
        <is>
          <t>aph(3'')-Ib aph(3')-Ia aph(6)-Id cirA_Q56Ter cyaA_S352T gyrA_D87N gyrA_S83L mcr-1.1 nfsA_Q26Ter nfsB_Q26Ter ompF_Q88Ter parC_E84K sul2 tet(B)</t>
        </is>
      </c>
      <c r="Z39" s="31" t="n">
        <v>117</v>
      </c>
      <c r="AA39" s="31" t="inlineStr">
        <is>
          <t>IncI2</t>
        </is>
      </c>
      <c r="AB39" s="31" t="n"/>
      <c r="AC39" s="25" t="inlineStr">
        <is>
          <t>|mcr-1.1|</t>
        </is>
      </c>
      <c r="AD39" s="19" t="n">
        <v>100</v>
      </c>
      <c r="AE39" s="19" t="n">
        <v>0.73</v>
      </c>
      <c r="AF39" s="19" t="inlineStr">
        <is>
          <t>no</t>
        </is>
      </c>
      <c r="AG39" s="19" t="inlineStr">
        <is>
          <t>Yes</t>
        </is>
      </c>
    </row>
    <row r="40" ht="15" customHeight="1" s="20">
      <c r="A40" s="25" t="inlineStr">
        <is>
          <t>PDT002807599.1</t>
        </is>
      </c>
      <c r="B40" s="25" t="inlineStr">
        <is>
          <t>SAMN48947181</t>
        </is>
      </c>
      <c r="C40" s="25" t="inlineStr">
        <is>
          <t>PRJNA1273464</t>
        </is>
      </c>
      <c r="D40" s="25" t="inlineStr">
        <is>
          <t>GCA_050939175.1</t>
        </is>
      </c>
      <c r="E40" s="25" t="n"/>
      <c r="F40" s="25" t="n"/>
      <c r="G40" s="25" t="inlineStr">
        <is>
          <t>GenBank assembly (no reads)</t>
        </is>
      </c>
      <c r="H40" s="25" t="inlineStr">
        <is>
          <t>PS01</t>
        </is>
      </c>
      <c r="I40" s="25" t="inlineStr">
        <is>
          <t>Algeria</t>
        </is>
      </c>
      <c r="J40" s="25" t="inlineStr">
        <is>
          <t>Guelma</t>
        </is>
      </c>
      <c r="K40" s="25" t="inlineStr">
        <is>
          <t>2022</t>
        </is>
      </c>
      <c r="L40" s="25" t="inlineStr">
        <is>
          <t>2022-05-01</t>
        </is>
      </c>
      <c r="M40" s="25" t="n"/>
      <c r="N40" s="25" t="inlineStr">
        <is>
          <t>Poultry farm</t>
        </is>
      </c>
      <c r="O40" s="25" t="inlineStr">
        <is>
          <t>Poultry</t>
        </is>
      </c>
      <c r="P40" s="25" t="inlineStr">
        <is>
          <t>Poultry farm environment</t>
        </is>
      </c>
      <c r="Q40" s="25" t="inlineStr">
        <is>
          <t>environmental/other</t>
        </is>
      </c>
      <c r="R40" s="25" t="inlineStr">
        <is>
          <t>mcr-1.1</t>
        </is>
      </c>
      <c r="S40" s="25" t="n"/>
      <c r="T40" s="25" t="n"/>
      <c r="U40" s="25" t="n"/>
      <c r="V40" s="25" t="n"/>
      <c r="W40" s="25" t="n">
        <v>192</v>
      </c>
      <c r="X40" s="25" t="n">
        <v>12</v>
      </c>
      <c r="Y40" s="25" t="inlineStr">
        <is>
          <t>aadA1 aadA2 acrR_R162PfsTer24 aph(3')-Ia blaTEM-1 dfrA12 dfrA1 estX-3 gyrA_D87N gyrA_S83L mcr-1.1 mph(A) parC_S80I parE_S458A sul1 sul3 tet(A)</t>
        </is>
      </c>
      <c r="Z40" s="31" t="inlineStr">
        <is>
          <t>Untypeable</t>
        </is>
      </c>
      <c r="AA40" s="31" t="inlineStr">
        <is>
          <t>IncI2</t>
        </is>
      </c>
      <c r="AB40" s="31" t="inlineStr">
        <is>
          <t>All seven alleles known but no ST assigned; likely novel ST (adk(6) fumC(11) gyrB(4) icd(8) mdh(276) purA(8) recA(6)).</t>
        </is>
      </c>
      <c r="AC40" s="25" t="inlineStr">
        <is>
          <t>|mcr-1.1|</t>
        </is>
      </c>
      <c r="AD40" s="19" t="n">
        <v>100</v>
      </c>
      <c r="AE40" s="19" t="n">
        <v>0.65</v>
      </c>
      <c r="AF40" s="19" t="inlineStr">
        <is>
          <t>no</t>
        </is>
      </c>
      <c r="AG40" s="19" t="inlineStr">
        <is>
          <t>Yes</t>
        </is>
      </c>
    </row>
    <row r="41" ht="15" customHeight="1" s="20">
      <c r="A41" s="25" t="inlineStr">
        <is>
          <t>PDT002807598.1</t>
        </is>
      </c>
      <c r="B41" s="25" t="inlineStr">
        <is>
          <t>SAMN48947185</t>
        </is>
      </c>
      <c r="C41" s="25" t="inlineStr">
        <is>
          <t>PRJNA1273464</t>
        </is>
      </c>
      <c r="D41" s="25" t="inlineStr">
        <is>
          <t>GCA_050939155.1</t>
        </is>
      </c>
      <c r="E41" s="25" t="n"/>
      <c r="F41" s="25" t="n"/>
      <c r="G41" s="25" t="inlineStr">
        <is>
          <t>GenBank assembly (no reads)</t>
        </is>
      </c>
      <c r="H41" s="25" t="inlineStr">
        <is>
          <t>PS05</t>
        </is>
      </c>
      <c r="I41" s="25" t="inlineStr">
        <is>
          <t>Algeria</t>
        </is>
      </c>
      <c r="J41" s="25" t="inlineStr">
        <is>
          <t>Guelma</t>
        </is>
      </c>
      <c r="K41" s="25" t="inlineStr">
        <is>
          <t>2022</t>
        </is>
      </c>
      <c r="L41" s="25" t="inlineStr">
        <is>
          <t>2022-07-01</t>
        </is>
      </c>
      <c r="M41" s="25" t="n"/>
      <c r="N41" s="25" t="inlineStr">
        <is>
          <t>Poultry farm</t>
        </is>
      </c>
      <c r="O41" s="25" t="inlineStr">
        <is>
          <t>Poultry</t>
        </is>
      </c>
      <c r="P41" s="25" t="inlineStr">
        <is>
          <t>Poultry farm environment</t>
        </is>
      </c>
      <c r="Q41" s="25" t="inlineStr">
        <is>
          <t>environmental/other</t>
        </is>
      </c>
      <c r="R41" s="25" t="inlineStr">
        <is>
          <t>mcr-1.1</t>
        </is>
      </c>
      <c r="S41" s="25" t="n"/>
      <c r="T41" s="25" t="n"/>
      <c r="U41" s="25" t="n"/>
      <c r="V41" s="25" t="n"/>
      <c r="W41" s="25" t="n">
        <v>149</v>
      </c>
      <c r="X41" s="25" t="n">
        <v>5</v>
      </c>
      <c r="Y41" s="25" t="inlineStr">
        <is>
          <t>aadA1 blaTEM-1 cirA_Q56Ter cyaA_S352T dfrA1 gyrA_D87N gyrA_S83L mcr-1.1 parC_S57T parC_S80I tet(A)</t>
        </is>
      </c>
      <c r="Z41" s="31" t="n">
        <v>93</v>
      </c>
      <c r="AA41" s="31" t="inlineStr">
        <is>
          <t>IncI2</t>
        </is>
      </c>
      <c r="AB41" s="31" t="n"/>
      <c r="AC41" s="25" t="inlineStr">
        <is>
          <t>|mcr-1.1|</t>
        </is>
      </c>
      <c r="AD41" s="19" t="n">
        <v>100</v>
      </c>
      <c r="AE41" s="19" t="n">
        <v>1.14</v>
      </c>
      <c r="AF41" s="19" t="inlineStr">
        <is>
          <t>no</t>
        </is>
      </c>
      <c r="AG41" s="19" t="inlineStr">
        <is>
          <t>Yes</t>
        </is>
      </c>
    </row>
    <row r="42" ht="15" customHeight="1" s="20">
      <c r="A42" s="25" t="inlineStr">
        <is>
          <t>PDT002807597.1</t>
        </is>
      </c>
      <c r="B42" s="25" t="inlineStr">
        <is>
          <t>SAMN48947234</t>
        </is>
      </c>
      <c r="C42" s="25" t="inlineStr">
        <is>
          <t>PRJNA1273464</t>
        </is>
      </c>
      <c r="D42" s="25" t="inlineStr">
        <is>
          <t>GCA_050939135.1</t>
        </is>
      </c>
      <c r="E42" s="25" t="n"/>
      <c r="F42" s="25" t="n"/>
      <c r="G42" s="25" t="inlineStr">
        <is>
          <t>GenBank assembly (no reads)</t>
        </is>
      </c>
      <c r="H42" s="25" t="inlineStr">
        <is>
          <t>S209</t>
        </is>
      </c>
      <c r="I42" s="25" t="inlineStr">
        <is>
          <t>Algeria</t>
        </is>
      </c>
      <c r="J42" s="25" t="inlineStr">
        <is>
          <t>Guelma</t>
        </is>
      </c>
      <c r="K42" s="25" t="inlineStr">
        <is>
          <t>2022</t>
        </is>
      </c>
      <c r="L42" s="25" t="inlineStr">
        <is>
          <t>2022-08-01</t>
        </is>
      </c>
      <c r="M42" s="25" t="n"/>
      <c r="N42" s="25" t="inlineStr">
        <is>
          <t>Poultry farm</t>
        </is>
      </c>
      <c r="O42" s="25" t="inlineStr">
        <is>
          <t>Poultry</t>
        </is>
      </c>
      <c r="P42" s="25" t="inlineStr">
        <is>
          <t>Poultry farm environment</t>
        </is>
      </c>
      <c r="Q42" s="25" t="inlineStr">
        <is>
          <t>environmental/other</t>
        </is>
      </c>
      <c r="R42" s="25" t="inlineStr">
        <is>
          <t>mcr-1.1</t>
        </is>
      </c>
      <c r="S42" s="25" t="n"/>
      <c r="T42" s="25" t="n"/>
      <c r="U42" s="25" t="n"/>
      <c r="V42" s="25" t="n"/>
      <c r="W42" s="25" t="n">
        <v>104</v>
      </c>
      <c r="X42" s="25" t="n">
        <v>8</v>
      </c>
      <c r="Y42" s="25" t="inlineStr">
        <is>
          <t>aph(3')-Ia blaTEM-1 dfrA14 estX-3 gyrA_D87N gyrA_S83L mcr-1.1 mph(A) parC_S80I parE_S458A sul3 tet(A)</t>
        </is>
      </c>
      <c r="Z42" s="31" t="n">
        <v>8492</v>
      </c>
      <c r="AA42" s="31" t="inlineStr">
        <is>
          <t>IncI2</t>
        </is>
      </c>
      <c r="AB42" s="31" t="n"/>
      <c r="AC42" s="25" t="inlineStr">
        <is>
          <t>|mcr-1.1|</t>
        </is>
      </c>
      <c r="AD42" s="19" t="n">
        <v>100</v>
      </c>
      <c r="AE42" s="19" t="n">
        <v>0.41</v>
      </c>
      <c r="AF42" s="19" t="inlineStr">
        <is>
          <t>no</t>
        </is>
      </c>
      <c r="AG42" s="19" t="inlineStr">
        <is>
          <t>Yes</t>
        </is>
      </c>
    </row>
    <row r="43" ht="15" customHeight="1" s="20">
      <c r="A43" s="25" t="inlineStr">
        <is>
          <t>PDT002807596.1</t>
        </is>
      </c>
      <c r="B43" s="25" t="inlineStr">
        <is>
          <t>SAMN48947233</t>
        </is>
      </c>
      <c r="C43" s="25" t="inlineStr">
        <is>
          <t>PRJNA1273464</t>
        </is>
      </c>
      <c r="D43" s="25" t="inlineStr">
        <is>
          <t>GCA_050939115.1</t>
        </is>
      </c>
      <c r="E43" s="25" t="n"/>
      <c r="F43" s="25" t="n"/>
      <c r="G43" s="25" t="inlineStr">
        <is>
          <t>GenBank assembly (no reads)</t>
        </is>
      </c>
      <c r="H43" s="25" t="inlineStr">
        <is>
          <t>S204</t>
        </is>
      </c>
      <c r="I43" s="25" t="inlineStr">
        <is>
          <t>Algeria</t>
        </is>
      </c>
      <c r="J43" s="25" t="inlineStr">
        <is>
          <t>Guelma</t>
        </is>
      </c>
      <c r="K43" s="25" t="inlineStr">
        <is>
          <t>2022</t>
        </is>
      </c>
      <c r="L43" s="25" t="inlineStr">
        <is>
          <t>2022-08-01</t>
        </is>
      </c>
      <c r="M43" s="25" t="n"/>
      <c r="N43" s="25" t="inlineStr">
        <is>
          <t>Poultry farm</t>
        </is>
      </c>
      <c r="O43" s="25" t="inlineStr">
        <is>
          <t>Poultry</t>
        </is>
      </c>
      <c r="P43" s="25" t="inlineStr">
        <is>
          <t>Poultry farm environment</t>
        </is>
      </c>
      <c r="Q43" s="25" t="inlineStr">
        <is>
          <t>environmental/other</t>
        </is>
      </c>
      <c r="R43" s="25" t="inlineStr">
        <is>
          <t>mcr-1.1</t>
        </is>
      </c>
      <c r="S43" s="25" t="n"/>
      <c r="T43" s="25" t="n"/>
      <c r="U43" s="25" t="n"/>
      <c r="V43" s="25" t="n"/>
      <c r="W43" s="25" t="n">
        <v>105</v>
      </c>
      <c r="X43" s="25" t="n">
        <v>8</v>
      </c>
      <c r="Y43" s="25" t="inlineStr">
        <is>
          <t>aph(3')-Ia blaTEM-1 dfrA14 estX-3 gyrA_D87N gyrA_S83L mcr-1.1 mph(A) parC_S80I parE_S458A sul3 tet(A)</t>
        </is>
      </c>
      <c r="Z43" s="31" t="n">
        <v>8492</v>
      </c>
      <c r="AA43" s="31" t="inlineStr">
        <is>
          <t>IncI2</t>
        </is>
      </c>
      <c r="AB43" s="31" t="n"/>
      <c r="AC43" s="25" t="inlineStr">
        <is>
          <t>|mcr-1.1|</t>
        </is>
      </c>
      <c r="AD43" s="19" t="n">
        <v>100</v>
      </c>
      <c r="AE43" s="19" t="n">
        <v>0.26</v>
      </c>
      <c r="AF43" s="19" t="inlineStr">
        <is>
          <t>no</t>
        </is>
      </c>
      <c r="AG43" s="19" t="inlineStr">
        <is>
          <t>Yes</t>
        </is>
      </c>
    </row>
    <row r="44" ht="15" customHeight="1" s="20">
      <c r="A44" s="25" t="inlineStr">
        <is>
          <t>PDT002807594.1</t>
        </is>
      </c>
      <c r="B44" s="25" t="inlineStr">
        <is>
          <t>SAMN48947213</t>
        </is>
      </c>
      <c r="C44" s="25" t="inlineStr">
        <is>
          <t>PRJNA1273464</t>
        </is>
      </c>
      <c r="D44" s="25" t="inlineStr">
        <is>
          <t>GCA_050939075.1</t>
        </is>
      </c>
      <c r="E44" s="25" t="n"/>
      <c r="F44" s="25" t="n"/>
      <c r="G44" s="25" t="inlineStr">
        <is>
          <t>GenBank assembly (no reads)</t>
        </is>
      </c>
      <c r="H44" s="25" t="inlineStr">
        <is>
          <t>PS42</t>
        </is>
      </c>
      <c r="I44" s="25" t="inlineStr">
        <is>
          <t>Algeria</t>
        </is>
      </c>
      <c r="J44" s="25" t="inlineStr">
        <is>
          <t>Guelma</t>
        </is>
      </c>
      <c r="K44" s="25" t="inlineStr">
        <is>
          <t>2022</t>
        </is>
      </c>
      <c r="L44" s="25" t="inlineStr">
        <is>
          <t>2022-08-01</t>
        </is>
      </c>
      <c r="M44" s="25" t="n"/>
      <c r="N44" s="25" t="inlineStr">
        <is>
          <t>Poultry farm</t>
        </is>
      </c>
      <c r="O44" s="25" t="inlineStr">
        <is>
          <t>Poultry</t>
        </is>
      </c>
      <c r="P44" s="25" t="inlineStr">
        <is>
          <t>Poultry farm environment</t>
        </is>
      </c>
      <c r="Q44" s="25" t="inlineStr">
        <is>
          <t>environmental/other</t>
        </is>
      </c>
      <c r="R44" s="25" t="inlineStr">
        <is>
          <t>mcr-1.1</t>
        </is>
      </c>
      <c r="S44" s="25" t="n"/>
      <c r="T44" s="25" t="n"/>
      <c r="U44" s="25" t="n"/>
      <c r="V44" s="25" t="n"/>
      <c r="W44" s="25" t="n">
        <v>126</v>
      </c>
      <c r="X44" s="25" t="n">
        <v>3</v>
      </c>
      <c r="Y44" s="25" t="inlineStr">
        <is>
          <t>blaTEM-1 gyrA_D87N gyrA_S83L mcr-1.1 parC_E84A parC_S80I tet(A)</t>
        </is>
      </c>
      <c r="Z44" s="31" t="n">
        <v>162</v>
      </c>
      <c r="AA44" s="31" t="inlineStr">
        <is>
          <t>IncI2 (MOB-Recon bin)</t>
        </is>
      </c>
      <c r="AB44" s="31" t="n"/>
      <c r="AC44" s="25" t="inlineStr">
        <is>
          <t>|mcr-1.1|</t>
        </is>
      </c>
      <c r="AD44" s="19" t="n">
        <v>100</v>
      </c>
      <c r="AE44" s="19" t="n">
        <v>0.05</v>
      </c>
      <c r="AF44" s="19" t="inlineStr">
        <is>
          <t>no</t>
        </is>
      </c>
      <c r="AG44" s="19" t="inlineStr">
        <is>
          <t>Yes</t>
        </is>
      </c>
    </row>
    <row r="45" ht="15" customHeight="1" s="20">
      <c r="A45" s="25" t="inlineStr">
        <is>
          <t>PDT002807593.1</t>
        </is>
      </c>
      <c r="B45" s="25" t="inlineStr">
        <is>
          <t>SAMN48947215</t>
        </is>
      </c>
      <c r="C45" s="25" t="inlineStr">
        <is>
          <t>PRJNA1273464</t>
        </is>
      </c>
      <c r="D45" s="25" t="inlineStr">
        <is>
          <t>GCA_050939055.1</t>
        </is>
      </c>
      <c r="E45" s="25" t="n"/>
      <c r="F45" s="25" t="n"/>
      <c r="G45" s="25" t="inlineStr">
        <is>
          <t>GenBank assembly (no reads)</t>
        </is>
      </c>
      <c r="H45" s="25" t="inlineStr">
        <is>
          <t>S261</t>
        </is>
      </c>
      <c r="I45" s="25" t="inlineStr">
        <is>
          <t>Algeria</t>
        </is>
      </c>
      <c r="J45" s="25" t="inlineStr">
        <is>
          <t>Guelma</t>
        </is>
      </c>
      <c r="K45" s="25" t="inlineStr">
        <is>
          <t>2022</t>
        </is>
      </c>
      <c r="L45" s="25" t="inlineStr">
        <is>
          <t>2022-10-01</t>
        </is>
      </c>
      <c r="M45" s="25" t="n"/>
      <c r="N45" s="25" t="inlineStr">
        <is>
          <t>Poultry farm</t>
        </is>
      </c>
      <c r="O45" s="25" t="inlineStr">
        <is>
          <t>Poultry</t>
        </is>
      </c>
      <c r="P45" s="25" t="inlineStr">
        <is>
          <t>Poultry farm environment</t>
        </is>
      </c>
      <c r="Q45" s="25" t="inlineStr">
        <is>
          <t>environmental/other</t>
        </is>
      </c>
      <c r="R45" s="25" t="inlineStr">
        <is>
          <t>mcr-1.1</t>
        </is>
      </c>
      <c r="S45" s="25" t="n"/>
      <c r="T45" s="25" t="n"/>
      <c r="U45" s="25" t="n"/>
      <c r="V45" s="25" t="n"/>
      <c r="W45" s="25" t="n">
        <v>66</v>
      </c>
      <c r="X45" s="25" t="n">
        <v>1</v>
      </c>
      <c r="Y45" s="25" t="inlineStr">
        <is>
          <t>cyaA_S352T gyrA_D87N gyrA_S83L mcr-1.1 parC_S80I</t>
        </is>
      </c>
      <c r="Z45" s="31" t="n">
        <v>11956</v>
      </c>
      <c r="AA45" s="31" t="inlineStr">
        <is>
          <t>IncI2 (MOB-Recon bin)</t>
        </is>
      </c>
      <c r="AB45" s="31" t="n"/>
      <c r="AC45" s="25" t="inlineStr">
        <is>
          <t>|mcr-1.1|</t>
        </is>
      </c>
      <c r="AD45" s="19" t="n">
        <v>100</v>
      </c>
      <c r="AE45" s="19" t="n">
        <v>0.39</v>
      </c>
      <c r="AF45" s="19" t="inlineStr">
        <is>
          <t>no</t>
        </is>
      </c>
      <c r="AG45" s="19" t="inlineStr">
        <is>
          <t>Yes</t>
        </is>
      </c>
    </row>
    <row r="46" ht="15" customHeight="1" s="20">
      <c r="A46" s="25" t="inlineStr">
        <is>
          <t>PDT002807592.1</t>
        </is>
      </c>
      <c r="B46" s="25" t="inlineStr">
        <is>
          <t>SAMN48947203</t>
        </is>
      </c>
      <c r="C46" s="25" t="inlineStr">
        <is>
          <t>PRJNA1273464</t>
        </is>
      </c>
      <c r="D46" s="25" t="inlineStr">
        <is>
          <t>GCA_050939035.1</t>
        </is>
      </c>
      <c r="E46" s="25" t="n"/>
      <c r="F46" s="25" t="n"/>
      <c r="G46" s="25" t="inlineStr">
        <is>
          <t>GenBank assembly (no reads)</t>
        </is>
      </c>
      <c r="H46" s="25" t="inlineStr">
        <is>
          <t>PS23</t>
        </is>
      </c>
      <c r="I46" s="25" t="inlineStr">
        <is>
          <t>Algeria</t>
        </is>
      </c>
      <c r="J46" s="25" t="inlineStr">
        <is>
          <t>Guelma</t>
        </is>
      </c>
      <c r="K46" s="25" t="inlineStr">
        <is>
          <t>2022</t>
        </is>
      </c>
      <c r="L46" s="25" t="inlineStr">
        <is>
          <t>2022-05-01</t>
        </is>
      </c>
      <c r="M46" s="25" t="n"/>
      <c r="N46" s="25" t="inlineStr">
        <is>
          <t>Poultry farm</t>
        </is>
      </c>
      <c r="O46" s="25" t="inlineStr">
        <is>
          <t>Poultry</t>
        </is>
      </c>
      <c r="P46" s="25" t="inlineStr">
        <is>
          <t>Poultry farm environment</t>
        </is>
      </c>
      <c r="Q46" s="25" t="inlineStr">
        <is>
          <t>environmental/other</t>
        </is>
      </c>
      <c r="R46" s="25" t="inlineStr">
        <is>
          <t>mcr-1.1</t>
        </is>
      </c>
      <c r="S46" s="25" t="n"/>
      <c r="T46" s="25" t="n"/>
      <c r="U46" s="25" t="n"/>
      <c r="V46" s="25" t="n"/>
      <c r="W46" s="25" t="n">
        <v>186</v>
      </c>
      <c r="X46" s="25" t="n">
        <v>5</v>
      </c>
      <c r="Y46" s="25" t="inlineStr">
        <is>
          <t>aph(3')-Ia blaTEM-1 dfrA14 gyrA_D87N gyrA_S83L mcr-1.1 parC_S80I tet(A)</t>
        </is>
      </c>
      <c r="Z46" s="31" t="n">
        <v>7139</v>
      </c>
      <c r="AA46" s="31" t="inlineStr">
        <is>
          <t>IncI2</t>
        </is>
      </c>
      <c r="AB46" s="31" t="n"/>
      <c r="AC46" s="25" t="inlineStr">
        <is>
          <t>|mcr-1.1|</t>
        </is>
      </c>
      <c r="AD46" s="19" t="n">
        <v>99.98999999999999</v>
      </c>
      <c r="AE46" s="19" t="n">
        <v>0.35</v>
      </c>
      <c r="AF46" s="19" t="inlineStr">
        <is>
          <t>no</t>
        </is>
      </c>
      <c r="AG46" s="19" t="inlineStr">
        <is>
          <t>Yes</t>
        </is>
      </c>
    </row>
    <row r="47" ht="15" customHeight="1" s="20">
      <c r="A47" s="25" t="inlineStr">
        <is>
          <t>PDT002807591.1</t>
        </is>
      </c>
      <c r="B47" s="25" t="inlineStr">
        <is>
          <t>SAMN48947209</t>
        </is>
      </c>
      <c r="C47" s="25" t="inlineStr">
        <is>
          <t>PRJNA1273464</t>
        </is>
      </c>
      <c r="D47" s="25" t="inlineStr">
        <is>
          <t>GCA_050939015.1</t>
        </is>
      </c>
      <c r="E47" s="25" t="n"/>
      <c r="F47" s="25" t="n"/>
      <c r="G47" s="25" t="inlineStr">
        <is>
          <t>GenBank assembly (no reads)</t>
        </is>
      </c>
      <c r="H47" s="25" t="inlineStr">
        <is>
          <t>PS38</t>
        </is>
      </c>
      <c r="I47" s="25" t="inlineStr">
        <is>
          <t>Algeria</t>
        </is>
      </c>
      <c r="J47" s="25" t="inlineStr">
        <is>
          <t>Guelma</t>
        </is>
      </c>
      <c r="K47" s="25" t="inlineStr">
        <is>
          <t>2022</t>
        </is>
      </c>
      <c r="L47" s="25" t="inlineStr">
        <is>
          <t>2022-06-01</t>
        </is>
      </c>
      <c r="M47" s="25" t="n"/>
      <c r="N47" s="25" t="inlineStr">
        <is>
          <t>Poultry farm</t>
        </is>
      </c>
      <c r="O47" s="25" t="inlineStr">
        <is>
          <t>Poultry</t>
        </is>
      </c>
      <c r="P47" s="25" t="inlineStr">
        <is>
          <t>Poultry farm environment</t>
        </is>
      </c>
      <c r="Q47" s="25" t="inlineStr">
        <is>
          <t>environmental/other</t>
        </is>
      </c>
      <c r="R47" s="25" t="inlineStr">
        <is>
          <t>mcr-1.1</t>
        </is>
      </c>
      <c r="S47" s="25" t="n"/>
      <c r="T47" s="25" t="n"/>
      <c r="U47" s="25" t="n"/>
      <c r="V47" s="25" t="n"/>
      <c r="W47" s="25" t="n">
        <v>121</v>
      </c>
      <c r="X47" s="25" t="n">
        <v>10</v>
      </c>
      <c r="Y47" s="25" t="inlineStr">
        <is>
          <t>aadA1 aadA2 aph(3')-Ia blaTEM-1 cmlA1 dfrA14 estX-3 gyrA_D87N gyrA_S83L mcr-1.1 parC_E84A parC_S80I sul3 tet(A)</t>
        </is>
      </c>
      <c r="Z47" s="31" t="n">
        <v>162</v>
      </c>
      <c r="AA47" s="31" t="inlineStr">
        <is>
          <t>IncI2</t>
        </is>
      </c>
      <c r="AB47" s="31" t="n"/>
      <c r="AC47" s="25" t="inlineStr">
        <is>
          <t>|mcr-1.1|</t>
        </is>
      </c>
      <c r="AD47" s="19" t="n">
        <v>100</v>
      </c>
      <c r="AE47" s="19" t="n">
        <v>1.23</v>
      </c>
      <c r="AF47" s="19" t="inlineStr">
        <is>
          <t>no</t>
        </is>
      </c>
      <c r="AG47" s="19" t="inlineStr">
        <is>
          <t>Yes</t>
        </is>
      </c>
    </row>
    <row r="48" ht="15" customHeight="1" s="20">
      <c r="A48" s="25" t="inlineStr">
        <is>
          <t>PDT002807589.1</t>
        </is>
      </c>
      <c r="B48" s="25" t="inlineStr">
        <is>
          <t>SAMN48947207</t>
        </is>
      </c>
      <c r="C48" s="25" t="inlineStr">
        <is>
          <t>PRJNA1273464</t>
        </is>
      </c>
      <c r="D48" s="25" t="inlineStr">
        <is>
          <t>GCA_050938975.1</t>
        </is>
      </c>
      <c r="E48" s="25" t="n"/>
      <c r="F48" s="25" t="n"/>
      <c r="G48" s="25" t="inlineStr">
        <is>
          <t>GenBank assembly (no reads)</t>
        </is>
      </c>
      <c r="H48" s="25" t="inlineStr">
        <is>
          <t>PS36</t>
        </is>
      </c>
      <c r="I48" s="25" t="inlineStr">
        <is>
          <t>Algeria</t>
        </is>
      </c>
      <c r="J48" s="25" t="inlineStr">
        <is>
          <t>Guelma</t>
        </is>
      </c>
      <c r="K48" s="25" t="inlineStr">
        <is>
          <t>2022</t>
        </is>
      </c>
      <c r="L48" s="25" t="inlineStr">
        <is>
          <t>2022-06-01</t>
        </is>
      </c>
      <c r="M48" s="25" t="n"/>
      <c r="N48" s="25" t="inlineStr">
        <is>
          <t>Poultry farm</t>
        </is>
      </c>
      <c r="O48" s="25" t="inlineStr">
        <is>
          <t>Poultry</t>
        </is>
      </c>
      <c r="P48" s="25" t="inlineStr">
        <is>
          <t>Poultry farm environment</t>
        </is>
      </c>
      <c r="Q48" s="25" t="inlineStr">
        <is>
          <t>environmental/other</t>
        </is>
      </c>
      <c r="R48" s="25" t="inlineStr">
        <is>
          <t>mcr-1.1</t>
        </is>
      </c>
      <c r="S48" s="25" t="n"/>
      <c r="T48" s="25" t="n"/>
      <c r="U48" s="25" t="n"/>
      <c r="V48" s="25" t="n"/>
      <c r="W48" s="25" t="n">
        <v>109</v>
      </c>
      <c r="X48" s="25" t="n">
        <v>3</v>
      </c>
      <c r="Y48" s="25" t="inlineStr">
        <is>
          <t>blaTEM-1 gyrA_D87N gyrA_S83L mcr-1.1 parC_E84A parC_S80I tet(A)</t>
        </is>
      </c>
      <c r="Z48" s="31" t="n">
        <v>162</v>
      </c>
      <c r="AA48" s="31" t="inlineStr">
        <is>
          <t>IncI2</t>
        </is>
      </c>
      <c r="AB48" s="31" t="n"/>
      <c r="AC48" s="25" t="inlineStr">
        <is>
          <t>|mcr-1.1|</t>
        </is>
      </c>
      <c r="AD48" s="19" t="n">
        <v>100</v>
      </c>
      <c r="AE48" s="19" t="n">
        <v>0.34</v>
      </c>
      <c r="AF48" s="19" t="inlineStr">
        <is>
          <t>no</t>
        </is>
      </c>
      <c r="AG48" s="19" t="inlineStr">
        <is>
          <t>Yes</t>
        </is>
      </c>
    </row>
    <row r="49" ht="15" customHeight="1" s="20">
      <c r="A49" s="25" t="inlineStr">
        <is>
          <t>PDT002807587.1</t>
        </is>
      </c>
      <c r="B49" s="25" t="inlineStr">
        <is>
          <t>SAMN48947193</t>
        </is>
      </c>
      <c r="C49" s="25" t="inlineStr">
        <is>
          <t>PRJNA1273464</t>
        </is>
      </c>
      <c r="D49" s="25" t="inlineStr">
        <is>
          <t>GCA_050938935.1</t>
        </is>
      </c>
      <c r="E49" s="25" t="n"/>
      <c r="F49" s="25" t="n"/>
      <c r="G49" s="25" t="inlineStr">
        <is>
          <t>GenBank assembly (no reads)</t>
        </is>
      </c>
      <c r="H49" s="25" t="inlineStr">
        <is>
          <t>PS13</t>
        </is>
      </c>
      <c r="I49" s="25" t="inlineStr">
        <is>
          <t>Algeria</t>
        </is>
      </c>
      <c r="J49" s="25" t="inlineStr">
        <is>
          <t>Guelma</t>
        </is>
      </c>
      <c r="K49" s="25" t="inlineStr">
        <is>
          <t>2022</t>
        </is>
      </c>
      <c r="L49" s="25" t="inlineStr">
        <is>
          <t>2022-07-01</t>
        </is>
      </c>
      <c r="M49" s="25" t="n"/>
      <c r="N49" s="25" t="inlineStr">
        <is>
          <t>Poultry farm</t>
        </is>
      </c>
      <c r="O49" s="25" t="inlineStr">
        <is>
          <t>Poultry</t>
        </is>
      </c>
      <c r="P49" s="25" t="inlineStr">
        <is>
          <t>Poultry farm environment</t>
        </is>
      </c>
      <c r="Q49" s="25" t="inlineStr">
        <is>
          <t>environmental/other</t>
        </is>
      </c>
      <c r="R49" s="25" t="inlineStr">
        <is>
          <t>mcr-1.1</t>
        </is>
      </c>
      <c r="S49" s="25" t="n"/>
      <c r="T49" s="25" t="n"/>
      <c r="U49" s="25" t="n"/>
      <c r="V49" s="25" t="n"/>
      <c r="W49" s="25" t="n">
        <v>132</v>
      </c>
      <c r="X49" s="25" t="n">
        <v>3</v>
      </c>
      <c r="Y49" s="25" t="inlineStr">
        <is>
          <t>blaTEM-135 cirA_V26SfsTer14 gyrA_D87N gyrA_S83L mcr-1.1 parC_S80I tet(A)</t>
        </is>
      </c>
      <c r="Z49" s="31" t="n">
        <v>23</v>
      </c>
      <c r="AA49" s="31" t="inlineStr">
        <is>
          <t>IncI2</t>
        </is>
      </c>
      <c r="AB49" s="31" t="n"/>
      <c r="AC49" s="25" t="inlineStr">
        <is>
          <t>|mcr-1.1|</t>
        </is>
      </c>
      <c r="AD49" s="19" t="n">
        <v>99.98999999999999</v>
      </c>
      <c r="AE49" s="19" t="n">
        <v>0.03</v>
      </c>
      <c r="AF49" s="19" t="inlineStr">
        <is>
          <t>no</t>
        </is>
      </c>
      <c r="AG49" s="19" t="inlineStr">
        <is>
          <t>Yes</t>
        </is>
      </c>
    </row>
    <row r="50" ht="15" customHeight="1" s="20">
      <c r="A50" s="25" t="inlineStr">
        <is>
          <t>PDT002807585.1</t>
        </is>
      </c>
      <c r="B50" s="25" t="inlineStr">
        <is>
          <t>SAMN48947196</t>
        </is>
      </c>
      <c r="C50" s="25" t="inlineStr">
        <is>
          <t>PRJNA1273464</t>
        </is>
      </c>
      <c r="D50" s="25" t="inlineStr">
        <is>
          <t>GCA_050938885.1</t>
        </is>
      </c>
      <c r="E50" s="25" t="n"/>
      <c r="F50" s="25" t="n"/>
      <c r="G50" s="25" t="inlineStr">
        <is>
          <t>GenBank assembly (no reads)</t>
        </is>
      </c>
      <c r="H50" s="25" t="inlineStr">
        <is>
          <t>PS16</t>
        </is>
      </c>
      <c r="I50" s="25" t="inlineStr">
        <is>
          <t>Algeria</t>
        </is>
      </c>
      <c r="J50" s="25" t="inlineStr">
        <is>
          <t>Guelma</t>
        </is>
      </c>
      <c r="K50" s="25" t="inlineStr">
        <is>
          <t>2022</t>
        </is>
      </c>
      <c r="L50" s="25" t="inlineStr">
        <is>
          <t>2022-07-01</t>
        </is>
      </c>
      <c r="M50" s="25" t="n"/>
      <c r="N50" s="25" t="inlineStr">
        <is>
          <t>Poultry farm</t>
        </is>
      </c>
      <c r="O50" s="25" t="inlineStr">
        <is>
          <t>Poultry</t>
        </is>
      </c>
      <c r="P50" s="25" t="inlineStr">
        <is>
          <t>Poultry farm environment</t>
        </is>
      </c>
      <c r="Q50" s="25" t="inlineStr">
        <is>
          <t>environmental/other</t>
        </is>
      </c>
      <c r="R50" s="25" t="inlineStr">
        <is>
          <t>mcr-1.1</t>
        </is>
      </c>
      <c r="S50" s="25" t="n"/>
      <c r="T50" s="25" t="n"/>
      <c r="U50" s="25" t="n"/>
      <c r="V50" s="25" t="n"/>
      <c r="W50" s="25" t="n">
        <v>93</v>
      </c>
      <c r="X50" s="25" t="n">
        <v>3</v>
      </c>
      <c r="Y50" s="25" t="inlineStr">
        <is>
          <t>blaTEM-1 gyrA_D87N gyrA_S83L mcr-1.1 parC_E84A parC_S80I tet(A)</t>
        </is>
      </c>
      <c r="Z50" s="31" t="n">
        <v>162</v>
      </c>
      <c r="AA50" s="31" t="inlineStr">
        <is>
          <t>IncI2 (MOB-Recon bin)</t>
        </is>
      </c>
      <c r="AB50" s="31" t="n"/>
      <c r="AC50" s="25" t="inlineStr">
        <is>
          <t>|mcr-1.1|</t>
        </is>
      </c>
      <c r="AD50" s="19" t="n">
        <v>100</v>
      </c>
      <c r="AE50" s="19" t="n">
        <v>0.3</v>
      </c>
      <c r="AF50" s="19" t="inlineStr">
        <is>
          <t>no</t>
        </is>
      </c>
      <c r="AG50" s="19" t="inlineStr">
        <is>
          <t>Yes</t>
        </is>
      </c>
    </row>
    <row r="51" ht="15" customHeight="1" s="20">
      <c r="A51" s="25" t="inlineStr">
        <is>
          <t>PDT002807584.1</t>
        </is>
      </c>
      <c r="B51" s="25" t="inlineStr">
        <is>
          <t>SAMN48947199</t>
        </is>
      </c>
      <c r="C51" s="25" t="inlineStr">
        <is>
          <t>PRJNA1273464</t>
        </is>
      </c>
      <c r="D51" s="25" t="inlineStr">
        <is>
          <t>GCA_050938875.1</t>
        </is>
      </c>
      <c r="E51" s="25" t="n"/>
      <c r="F51" s="25" t="n"/>
      <c r="G51" s="25" t="inlineStr">
        <is>
          <t>GenBank assembly (no reads)</t>
        </is>
      </c>
      <c r="H51" s="25" t="inlineStr">
        <is>
          <t>PS19</t>
        </is>
      </c>
      <c r="I51" s="25" t="inlineStr">
        <is>
          <t>Algeria</t>
        </is>
      </c>
      <c r="J51" s="25" t="inlineStr">
        <is>
          <t>Guelma</t>
        </is>
      </c>
      <c r="K51" s="25" t="inlineStr">
        <is>
          <t>2022</t>
        </is>
      </c>
      <c r="L51" s="25" t="inlineStr">
        <is>
          <t>2022-09-01</t>
        </is>
      </c>
      <c r="M51" s="25" t="n"/>
      <c r="N51" s="25" t="inlineStr">
        <is>
          <t>Poultry farm</t>
        </is>
      </c>
      <c r="O51" s="25" t="inlineStr">
        <is>
          <t>Poultry</t>
        </is>
      </c>
      <c r="P51" s="25" t="inlineStr">
        <is>
          <t>Poultry farm environment</t>
        </is>
      </c>
      <c r="Q51" s="25" t="inlineStr">
        <is>
          <t>environmental/other</t>
        </is>
      </c>
      <c r="R51" s="25" t="inlineStr">
        <is>
          <t>mcr-1.1</t>
        </is>
      </c>
      <c r="S51" s="25" t="n"/>
      <c r="T51" s="25" t="n"/>
      <c r="U51" s="25" t="n"/>
      <c r="V51" s="25" t="n"/>
      <c r="W51" s="25" t="n">
        <v>153</v>
      </c>
      <c r="X51" s="25" t="n">
        <v>8</v>
      </c>
      <c r="Y51" s="25" t="inlineStr">
        <is>
          <t>aph(3')-Ia blaTEM-1 cirA_Q60Ter dfrA14 estX-3 gyrA_D87N gyrA_S83L mcr-1.1 mph(A) parC_S80I sul3 tet(A)</t>
        </is>
      </c>
      <c r="Z51" s="31" t="n">
        <v>297</v>
      </c>
      <c r="AA51" s="31" t="inlineStr">
        <is>
          <t>IncI2</t>
        </is>
      </c>
      <c r="AB51" s="31" t="n"/>
      <c r="AC51" s="25" t="inlineStr">
        <is>
          <t>|mcr-1.1|</t>
        </is>
      </c>
      <c r="AD51" s="19" t="n">
        <v>100</v>
      </c>
      <c r="AE51" s="19" t="n">
        <v>0.49</v>
      </c>
      <c r="AF51" s="19" t="inlineStr">
        <is>
          <t>no</t>
        </is>
      </c>
      <c r="AG51" s="19" t="inlineStr">
        <is>
          <t>Yes</t>
        </is>
      </c>
    </row>
    <row r="52" ht="15" customHeight="1" s="20">
      <c r="A52" s="25" t="inlineStr">
        <is>
          <t>PDT002807583.1</t>
        </is>
      </c>
      <c r="B52" s="25" t="inlineStr">
        <is>
          <t>SAMN48947201</t>
        </is>
      </c>
      <c r="C52" s="25" t="inlineStr">
        <is>
          <t>PRJNA1273464</t>
        </is>
      </c>
      <c r="D52" s="25" t="inlineStr">
        <is>
          <t>GCA_050938855.1</t>
        </is>
      </c>
      <c r="E52" s="25" t="n"/>
      <c r="F52" s="25" t="n"/>
      <c r="G52" s="25" t="inlineStr">
        <is>
          <t>GenBank assembly (no reads)</t>
        </is>
      </c>
      <c r="H52" s="25" t="inlineStr">
        <is>
          <t>PS21</t>
        </is>
      </c>
      <c r="I52" s="25" t="inlineStr">
        <is>
          <t>Algeria</t>
        </is>
      </c>
      <c r="J52" s="25" t="inlineStr">
        <is>
          <t>Guelma</t>
        </is>
      </c>
      <c r="K52" s="25" t="inlineStr">
        <is>
          <t>2022</t>
        </is>
      </c>
      <c r="L52" s="25" t="inlineStr">
        <is>
          <t>2022-05-01</t>
        </is>
      </c>
      <c r="M52" s="25" t="n"/>
      <c r="N52" s="25" t="inlineStr">
        <is>
          <t>Poultry farm</t>
        </is>
      </c>
      <c r="O52" s="25" t="inlineStr">
        <is>
          <t>Poultry</t>
        </is>
      </c>
      <c r="P52" s="25" t="inlineStr">
        <is>
          <t>Poultry farm environment</t>
        </is>
      </c>
      <c r="Q52" s="25" t="inlineStr">
        <is>
          <t>environmental/other</t>
        </is>
      </c>
      <c r="R52" s="25" t="inlineStr">
        <is>
          <t>mcr-1.1</t>
        </is>
      </c>
      <c r="S52" s="25" t="n"/>
      <c r="T52" s="25" t="n"/>
      <c r="U52" s="25" t="n"/>
      <c r="V52" s="25" t="n"/>
      <c r="W52" s="25" t="n">
        <v>147</v>
      </c>
      <c r="X52" s="25" t="n">
        <v>9</v>
      </c>
      <c r="Y52" s="25" t="inlineStr">
        <is>
          <t>aph(3'')-Ib aph(3')-Ia aph(6)-Id blaTEM-1 dfrA14 gyrA_D87N gyrA_S83L mcr-1.1 mph(A) parC_S80I parE_S458A sul2 tet(A) uhpT_E350Q</t>
        </is>
      </c>
      <c r="Z52" s="31" t="n">
        <v>7518</v>
      </c>
      <c r="AA52" s="31" t="inlineStr">
        <is>
          <t>IncI2</t>
        </is>
      </c>
      <c r="AB52" s="31" t="n"/>
      <c r="AC52" s="25" t="inlineStr">
        <is>
          <t>|mcr-1.1|</t>
        </is>
      </c>
      <c r="AD52" s="19" t="n">
        <v>100</v>
      </c>
      <c r="AE52" s="19" t="n">
        <v>0.36</v>
      </c>
      <c r="AF52" s="19" t="inlineStr">
        <is>
          <t>no</t>
        </is>
      </c>
      <c r="AG52" s="19" t="inlineStr">
        <is>
          <t>Yes</t>
        </is>
      </c>
    </row>
    <row r="53" ht="15" customHeight="1" s="20">
      <c r="A53" s="25" t="inlineStr">
        <is>
          <t>PDT002807582.1</t>
        </is>
      </c>
      <c r="B53" s="25" t="inlineStr">
        <is>
          <t>SAMN48947202</t>
        </is>
      </c>
      <c r="C53" s="25" t="inlineStr">
        <is>
          <t>PRJNA1273464</t>
        </is>
      </c>
      <c r="D53" s="25" t="inlineStr">
        <is>
          <t>GCA_050938835.1</t>
        </is>
      </c>
      <c r="E53" s="25" t="n"/>
      <c r="F53" s="25" t="n"/>
      <c r="G53" s="25" t="inlineStr">
        <is>
          <t>GenBank assembly (no reads)</t>
        </is>
      </c>
      <c r="H53" s="25" t="inlineStr">
        <is>
          <t>PS22</t>
        </is>
      </c>
      <c r="I53" s="25" t="inlineStr">
        <is>
          <t>Algeria</t>
        </is>
      </c>
      <c r="J53" s="25" t="inlineStr">
        <is>
          <t>Guelma</t>
        </is>
      </c>
      <c r="K53" s="25" t="inlineStr">
        <is>
          <t>2022</t>
        </is>
      </c>
      <c r="L53" s="25" t="inlineStr">
        <is>
          <t>2022-05-01</t>
        </is>
      </c>
      <c r="M53" s="25" t="n"/>
      <c r="N53" s="25" t="inlineStr">
        <is>
          <t>Poultry farm</t>
        </is>
      </c>
      <c r="O53" s="25" t="inlineStr">
        <is>
          <t>Poultry</t>
        </is>
      </c>
      <c r="P53" s="25" t="inlineStr">
        <is>
          <t>Poultry farm environment</t>
        </is>
      </c>
      <c r="Q53" s="25" t="inlineStr">
        <is>
          <t>environmental/other</t>
        </is>
      </c>
      <c r="R53" s="25" t="inlineStr">
        <is>
          <t>mcr-1.1</t>
        </is>
      </c>
      <c r="S53" s="25" t="n"/>
      <c r="T53" s="25" t="n"/>
      <c r="U53" s="25" t="n"/>
      <c r="V53" s="25" t="n"/>
      <c r="W53" s="25" t="n">
        <v>151</v>
      </c>
      <c r="X53" s="25" t="n">
        <v>1</v>
      </c>
      <c r="Y53" s="25" t="inlineStr">
        <is>
          <t>gyrA_D87N gyrA_S83L mcr-1.1 parC_S80I</t>
        </is>
      </c>
      <c r="Z53" s="31" t="inlineStr">
        <is>
          <t>Untypeable</t>
        </is>
      </c>
      <c r="AA53" s="31" t="inlineStr">
        <is>
          <t>IncI2</t>
        </is>
      </c>
      <c r="AB53" s="31" t="inlineStr">
        <is>
          <t>Partial gyrB allele (adk(10) fumC(11) gyrB(1243?) icd(724) mdh(8) purA(8) recA(2)) on the explicit ecoli_achtman_4 rerun; ST not assigned.</t>
        </is>
      </c>
      <c r="AC53" s="25" t="inlineStr">
        <is>
          <t>|mcr-1.1|</t>
        </is>
      </c>
      <c r="AD53" s="19" t="n">
        <v>99.94</v>
      </c>
      <c r="AE53" s="19" t="n">
        <v>0.62</v>
      </c>
      <c r="AF53" s="19" t="inlineStr">
        <is>
          <t>no</t>
        </is>
      </c>
      <c r="AG53" s="19" t="inlineStr">
        <is>
          <t>Yes</t>
        </is>
      </c>
    </row>
    <row r="54" ht="15" customHeight="1" s="20">
      <c r="A54" s="25" t="inlineStr">
        <is>
          <t>PDT002807581.1</t>
        </is>
      </c>
      <c r="B54" s="25" t="inlineStr">
        <is>
          <t>SAMN48947195</t>
        </is>
      </c>
      <c r="C54" s="25" t="inlineStr">
        <is>
          <t>PRJNA1273464</t>
        </is>
      </c>
      <c r="D54" s="25" t="inlineStr">
        <is>
          <t>GCA_050938815.1</t>
        </is>
      </c>
      <c r="E54" s="25" t="n"/>
      <c r="F54" s="25" t="n"/>
      <c r="G54" s="25" t="inlineStr">
        <is>
          <t>GenBank assembly (no reads)</t>
        </is>
      </c>
      <c r="H54" s="25" t="inlineStr">
        <is>
          <t>PS15</t>
        </is>
      </c>
      <c r="I54" s="25" t="inlineStr">
        <is>
          <t>Algeria</t>
        </is>
      </c>
      <c r="J54" s="25" t="inlineStr">
        <is>
          <t>Guelma</t>
        </is>
      </c>
      <c r="K54" s="25" t="inlineStr">
        <is>
          <t>2022</t>
        </is>
      </c>
      <c r="L54" s="25" t="inlineStr">
        <is>
          <t>2022-07-01</t>
        </is>
      </c>
      <c r="M54" s="25" t="n"/>
      <c r="N54" s="25" t="inlineStr">
        <is>
          <t>Poultry farm</t>
        </is>
      </c>
      <c r="O54" s="25" t="inlineStr">
        <is>
          <t>Poultry</t>
        </is>
      </c>
      <c r="P54" s="25" t="inlineStr">
        <is>
          <t>Poultry farm environment</t>
        </is>
      </c>
      <c r="Q54" s="25" t="inlineStr">
        <is>
          <t>environmental/other</t>
        </is>
      </c>
      <c r="R54" s="25" t="inlineStr">
        <is>
          <t>mcr-1.1</t>
        </is>
      </c>
      <c r="S54" s="25" t="n"/>
      <c r="T54" s="25" t="n"/>
      <c r="U54" s="25" t="n"/>
      <c r="V54" s="25" t="n"/>
      <c r="W54" s="25" t="n">
        <v>113</v>
      </c>
      <c r="X54" s="25" t="n">
        <v>2</v>
      </c>
      <c r="Y54" s="25" t="inlineStr">
        <is>
          <t>mcr-1.1 tet(B)</t>
        </is>
      </c>
      <c r="Z54" s="31" t="n">
        <v>453</v>
      </c>
      <c r="AA54" s="31" t="inlineStr">
        <is>
          <t>IncI2</t>
        </is>
      </c>
      <c r="AB54" s="31" t="n"/>
      <c r="AC54" s="25" t="inlineStr">
        <is>
          <t>|mcr-1.1|</t>
        </is>
      </c>
      <c r="AD54" s="19" t="n">
        <v>99.98999999999999</v>
      </c>
      <c r="AE54" s="19" t="n">
        <v>0.36</v>
      </c>
      <c r="AF54" s="19" t="inlineStr">
        <is>
          <t>no</t>
        </is>
      </c>
      <c r="AG54" s="19" t="inlineStr">
        <is>
          <t>Yes</t>
        </is>
      </c>
    </row>
    <row r="55" ht="15" customHeight="1" s="20">
      <c r="A55" s="25" t="inlineStr">
        <is>
          <t>PDT002807580.1</t>
        </is>
      </c>
      <c r="B55" s="25" t="inlineStr">
        <is>
          <t>SAMN48947205</t>
        </is>
      </c>
      <c r="C55" s="25" t="inlineStr">
        <is>
          <t>PRJNA1273464</t>
        </is>
      </c>
      <c r="D55" s="25" t="inlineStr">
        <is>
          <t>GCA_050938795.1</t>
        </is>
      </c>
      <c r="E55" s="25" t="n"/>
      <c r="F55" s="25" t="n"/>
      <c r="G55" s="25" t="inlineStr">
        <is>
          <t>GenBank assembly (no reads)</t>
        </is>
      </c>
      <c r="H55" s="25" t="inlineStr">
        <is>
          <t>PS32</t>
        </is>
      </c>
      <c r="I55" s="25" t="inlineStr">
        <is>
          <t>Algeria</t>
        </is>
      </c>
      <c r="J55" s="25" t="inlineStr">
        <is>
          <t>Guelma</t>
        </is>
      </c>
      <c r="K55" s="25" t="inlineStr">
        <is>
          <t>2022</t>
        </is>
      </c>
      <c r="L55" s="25" t="inlineStr">
        <is>
          <t>2022-11-01</t>
        </is>
      </c>
      <c r="M55" s="25" t="n"/>
      <c r="N55" s="25" t="inlineStr">
        <is>
          <t>Poultry farm</t>
        </is>
      </c>
      <c r="O55" s="25" t="inlineStr">
        <is>
          <t>Poultry</t>
        </is>
      </c>
      <c r="P55" s="25" t="inlineStr">
        <is>
          <t>Poultry farm environment</t>
        </is>
      </c>
      <c r="Q55" s="25" t="inlineStr">
        <is>
          <t>environmental/other</t>
        </is>
      </c>
      <c r="R55" s="25" t="inlineStr">
        <is>
          <t>mcr-1.1</t>
        </is>
      </c>
      <c r="S55" s="25" t="n"/>
      <c r="T55" s="25" t="n"/>
      <c r="U55" s="25" t="n"/>
      <c r="V55" s="25" t="n"/>
      <c r="W55" s="25" t="n">
        <v>137</v>
      </c>
      <c r="X55" s="25" t="n">
        <v>11</v>
      </c>
      <c r="Y55" s="25" t="inlineStr">
        <is>
          <t>aadA1 aadA2 aph(3')-Ia blaTEM-135 cmlA1 cyaA_S352T dfrA14 estX-3 gyrA_D87N gyrA_S83L mcr-1.1 mph(A) parC_S80I sul3 tet(A)</t>
        </is>
      </c>
      <c r="Z55" s="31" t="n">
        <v>3941</v>
      </c>
      <c r="AA55" s="31" t="inlineStr">
        <is>
          <t>IncI2</t>
        </is>
      </c>
      <c r="AB55" s="31" t="n"/>
      <c r="AC55" s="25" t="inlineStr">
        <is>
          <t>|mcr-1.1|</t>
        </is>
      </c>
      <c r="AD55" s="19" t="n">
        <v>100</v>
      </c>
      <c r="AE55" s="19" t="n">
        <v>0.3</v>
      </c>
      <c r="AF55" s="19" t="inlineStr">
        <is>
          <t>no</t>
        </is>
      </c>
      <c r="AG55" s="19" t="inlineStr">
        <is>
          <t>Yes</t>
        </is>
      </c>
    </row>
    <row r="56" ht="15" customHeight="1" s="20">
      <c r="A56" s="25" t="inlineStr">
        <is>
          <t>PDT002807579.1</t>
        </is>
      </c>
      <c r="B56" s="25" t="inlineStr">
        <is>
          <t>SAMN48947204</t>
        </is>
      </c>
      <c r="C56" s="25" t="inlineStr">
        <is>
          <t>PRJNA1273464</t>
        </is>
      </c>
      <c r="D56" s="25" t="inlineStr">
        <is>
          <t>GCA_050938775.1</t>
        </is>
      </c>
      <c r="E56" s="25" t="n"/>
      <c r="F56" s="25" t="n"/>
      <c r="G56" s="25" t="inlineStr">
        <is>
          <t>GenBank assembly (no reads)</t>
        </is>
      </c>
      <c r="H56" s="25" t="inlineStr">
        <is>
          <t>PS27</t>
        </is>
      </c>
      <c r="I56" s="25" t="inlineStr">
        <is>
          <t>Algeria</t>
        </is>
      </c>
      <c r="J56" s="25" t="inlineStr">
        <is>
          <t>Guelma</t>
        </is>
      </c>
      <c r="K56" s="25" t="inlineStr">
        <is>
          <t>2022</t>
        </is>
      </c>
      <c r="L56" s="25" t="inlineStr">
        <is>
          <t>2022-09-01</t>
        </is>
      </c>
      <c r="M56" s="25" t="n"/>
      <c r="N56" s="25" t="inlineStr">
        <is>
          <t>Poultry farm</t>
        </is>
      </c>
      <c r="O56" s="25" t="inlineStr">
        <is>
          <t>Poultry</t>
        </is>
      </c>
      <c r="P56" s="25" t="inlineStr">
        <is>
          <t>Poultry farm environment</t>
        </is>
      </c>
      <c r="Q56" s="25" t="inlineStr">
        <is>
          <t>environmental/other</t>
        </is>
      </c>
      <c r="R56" s="25" t="inlineStr">
        <is>
          <t>mcr-1.1</t>
        </is>
      </c>
      <c r="S56" s="25" t="n"/>
      <c r="T56" s="25" t="n"/>
      <c r="U56" s="25" t="n"/>
      <c r="V56" s="25" t="n"/>
      <c r="W56" s="25" t="n">
        <v>117</v>
      </c>
      <c r="X56" s="25" t="n">
        <v>8</v>
      </c>
      <c r="Y56" s="25" t="inlineStr">
        <is>
          <t>aadA1 aadA2 cmlA1 dfrA12 floR gyrA_D87N gyrA_S83L mcr-1.1 parC_S80I parE_S458A sul2 tet(M)</t>
        </is>
      </c>
      <c r="Z56" s="31" t="n">
        <v>155</v>
      </c>
      <c r="AA56" s="31" t="inlineStr">
        <is>
          <t>IncI2 (MOB-Recon bin)</t>
        </is>
      </c>
      <c r="AB56" s="31" t="n"/>
      <c r="AC56" s="25" t="inlineStr">
        <is>
          <t>|mcr-1.1|</t>
        </is>
      </c>
      <c r="AD56" s="19" t="n">
        <v>100</v>
      </c>
      <c r="AE56" s="19" t="n">
        <v>0.37</v>
      </c>
      <c r="AF56" s="19" t="inlineStr">
        <is>
          <t>no</t>
        </is>
      </c>
      <c r="AG56" s="19" t="inlineStr">
        <is>
          <t>Yes</t>
        </is>
      </c>
    </row>
    <row r="57" ht="15" customHeight="1" s="20">
      <c r="A57" s="25" t="inlineStr">
        <is>
          <t>PDT002807578.1</t>
        </is>
      </c>
      <c r="B57" s="25" t="inlineStr">
        <is>
          <t>SAMN48947200</t>
        </is>
      </c>
      <c r="C57" s="25" t="inlineStr">
        <is>
          <t>PRJNA1273464</t>
        </is>
      </c>
      <c r="D57" s="25" t="inlineStr">
        <is>
          <t>GCA_050938755.1</t>
        </is>
      </c>
      <c r="E57" s="25" t="n"/>
      <c r="F57" s="25" t="n"/>
      <c r="G57" s="25" t="inlineStr">
        <is>
          <t>GenBank assembly (no reads)</t>
        </is>
      </c>
      <c r="H57" s="25" t="inlineStr">
        <is>
          <t>PS20</t>
        </is>
      </c>
      <c r="I57" s="25" t="inlineStr">
        <is>
          <t>Algeria</t>
        </is>
      </c>
      <c r="J57" s="25" t="inlineStr">
        <is>
          <t>Guelma</t>
        </is>
      </c>
      <c r="K57" s="25" t="inlineStr">
        <is>
          <t>2022</t>
        </is>
      </c>
      <c r="L57" s="25" t="inlineStr">
        <is>
          <t>2022-09-01</t>
        </is>
      </c>
      <c r="M57" s="25" t="n"/>
      <c r="N57" s="25" t="inlineStr">
        <is>
          <t>Poultry farm</t>
        </is>
      </c>
      <c r="O57" s="25" t="inlineStr">
        <is>
          <t>Poultry</t>
        </is>
      </c>
      <c r="P57" s="25" t="inlineStr">
        <is>
          <t>Poultry farm environment</t>
        </is>
      </c>
      <c r="Q57" s="25" t="inlineStr">
        <is>
          <t>environmental/other</t>
        </is>
      </c>
      <c r="R57" s="25" t="inlineStr">
        <is>
          <t>mcr-1.1</t>
        </is>
      </c>
      <c r="S57" s="25" t="n"/>
      <c r="T57" s="25" t="n"/>
      <c r="U57" s="25" t="n"/>
      <c r="V57" s="25" t="n"/>
      <c r="W57" s="25" t="n">
        <v>154</v>
      </c>
      <c r="X57" s="25" t="n">
        <v>13</v>
      </c>
      <c r="Y57" s="25" t="inlineStr">
        <is>
          <t>aadA1 aph(3'')-Ib aph(6)-Id blaTEM-1 cirA_W621Ter cyaA_S352T dfrA1 gyrA_D87N gyrA_S83L mcr-1.1 mph(A) mph(B) nfsA_H11Y parC_S80I qnrS1 rdmCL sul1 sul2 tet(A)</t>
        </is>
      </c>
      <c r="Z57" s="31" t="n">
        <v>93</v>
      </c>
      <c r="AA57" s="31" t="inlineStr">
        <is>
          <t>IncI2</t>
        </is>
      </c>
      <c r="AB57" s="31" t="n"/>
      <c r="AC57" s="25" t="inlineStr">
        <is>
          <t>|mcr-1.1|</t>
        </is>
      </c>
      <c r="AD57" s="19" t="n">
        <v>100</v>
      </c>
      <c r="AE57" s="19" t="n">
        <v>0.51</v>
      </c>
      <c r="AF57" s="19" t="inlineStr">
        <is>
          <t>no</t>
        </is>
      </c>
      <c r="AG57" s="19" t="inlineStr">
        <is>
          <t>Yes</t>
        </is>
      </c>
    </row>
    <row r="58" ht="15" customHeight="1" s="20">
      <c r="A58" s="25" t="inlineStr">
        <is>
          <t>PDT002807577.1</t>
        </is>
      </c>
      <c r="B58" s="25" t="inlineStr">
        <is>
          <t>SAMN48947206</t>
        </is>
      </c>
      <c r="C58" s="25" t="inlineStr">
        <is>
          <t>PRJNA1273464</t>
        </is>
      </c>
      <c r="D58" s="25" t="inlineStr">
        <is>
          <t>GCA_050938735.1</t>
        </is>
      </c>
      <c r="E58" s="25" t="n"/>
      <c r="F58" s="25" t="n"/>
      <c r="G58" s="25" t="inlineStr">
        <is>
          <t>GenBank assembly (no reads)</t>
        </is>
      </c>
      <c r="H58" s="25" t="inlineStr">
        <is>
          <t>PS35</t>
        </is>
      </c>
      <c r="I58" s="25" t="inlineStr">
        <is>
          <t>Algeria</t>
        </is>
      </c>
      <c r="J58" s="25" t="inlineStr">
        <is>
          <t>Guelma</t>
        </is>
      </c>
      <c r="K58" s="25" t="inlineStr">
        <is>
          <t>2022</t>
        </is>
      </c>
      <c r="L58" s="25" t="inlineStr">
        <is>
          <t>2022-06-01</t>
        </is>
      </c>
      <c r="M58" s="25" t="n"/>
      <c r="N58" s="25" t="inlineStr">
        <is>
          <t>Poultry farm</t>
        </is>
      </c>
      <c r="O58" s="25" t="inlineStr">
        <is>
          <t>Poultry</t>
        </is>
      </c>
      <c r="P58" s="25" t="inlineStr">
        <is>
          <t>Poultry farm environment</t>
        </is>
      </c>
      <c r="Q58" s="25" t="inlineStr">
        <is>
          <t>environmental/other</t>
        </is>
      </c>
      <c r="R58" s="25" t="inlineStr">
        <is>
          <t>mcr-1.5</t>
        </is>
      </c>
      <c r="S58" s="25" t="n"/>
      <c r="T58" s="25" t="n"/>
      <c r="U58" s="25" t="n"/>
      <c r="V58" s="25" t="n"/>
      <c r="W58" s="25" t="n">
        <v>126</v>
      </c>
      <c r="X58" s="25" t="n">
        <v>5</v>
      </c>
      <c r="Y58" s="25" t="inlineStr">
        <is>
          <t>catA1 dfrA14 gyrA_D87N gyrA_S83L mcr-1.5 mph(A) parC_A56T parC_S80I tet(B)</t>
        </is>
      </c>
      <c r="Z58" s="31" t="n">
        <v>744</v>
      </c>
      <c r="AA58" s="31" t="inlineStr">
        <is>
          <t>IncI2 (MOB-Recon bin)</t>
        </is>
      </c>
      <c r="AB58" s="31" t="n"/>
      <c r="AC58" s="25" t="inlineStr">
        <is>
          <t>|mcr-1.5|</t>
        </is>
      </c>
      <c r="AD58" s="19" t="n">
        <v>100</v>
      </c>
      <c r="AE58" s="19" t="n">
        <v>0.08</v>
      </c>
      <c r="AF58" s="19" t="inlineStr">
        <is>
          <t>no</t>
        </is>
      </c>
      <c r="AG58" s="19" t="inlineStr">
        <is>
          <t>Yes</t>
        </is>
      </c>
    </row>
    <row r="59" ht="15" customHeight="1" s="20">
      <c r="A59" s="25" t="inlineStr">
        <is>
          <t>PDT002807570.1</t>
        </is>
      </c>
      <c r="B59" s="25" t="inlineStr">
        <is>
          <t>SAMN48947212</t>
        </is>
      </c>
      <c r="C59" s="25" t="inlineStr">
        <is>
          <t>PRJNA1273464</t>
        </is>
      </c>
      <c r="D59" s="25" t="inlineStr">
        <is>
          <t>GCA_050938595.1</t>
        </is>
      </c>
      <c r="E59" s="25" t="n"/>
      <c r="F59" s="25" t="n"/>
      <c r="G59" s="25" t="inlineStr">
        <is>
          <t>GenBank assembly (no reads)</t>
        </is>
      </c>
      <c r="H59" s="25" t="inlineStr">
        <is>
          <t>PS41</t>
        </is>
      </c>
      <c r="I59" s="25" t="inlineStr">
        <is>
          <t>Algeria</t>
        </is>
      </c>
      <c r="J59" s="25" t="inlineStr">
        <is>
          <t>Guelma</t>
        </is>
      </c>
      <c r="K59" s="25" t="inlineStr">
        <is>
          <t>2022</t>
        </is>
      </c>
      <c r="L59" s="25" t="inlineStr">
        <is>
          <t>2022-08-01</t>
        </is>
      </c>
      <c r="M59" s="25" t="n"/>
      <c r="N59" s="25" t="inlineStr">
        <is>
          <t>Poultry farm</t>
        </is>
      </c>
      <c r="O59" s="25" t="inlineStr">
        <is>
          <t>Poultry</t>
        </is>
      </c>
      <c r="P59" s="25" t="inlineStr">
        <is>
          <t>Poultry farm environment</t>
        </is>
      </c>
      <c r="Q59" s="25" t="inlineStr">
        <is>
          <t>environmental/other</t>
        </is>
      </c>
      <c r="R59" s="25" t="inlineStr">
        <is>
          <t>mcr-1.1</t>
        </is>
      </c>
      <c r="S59" s="25" t="n"/>
      <c r="T59" s="25" t="n"/>
      <c r="U59" s="25" t="n"/>
      <c r="V59" s="25" t="n"/>
      <c r="W59" s="25" t="n">
        <v>66</v>
      </c>
      <c r="X59" s="25" t="n">
        <v>7</v>
      </c>
      <c r="Y59" s="25" t="inlineStr">
        <is>
          <t>aadA1 aadA2 cmlA1 dfrA12 gyrA_D87N gyrA_S83L mcr-1.1 parC_S80I parE_S458A sul3 tet(A) uhpT_E350Q</t>
        </is>
      </c>
      <c r="Z59" s="31" t="n">
        <v>224</v>
      </c>
      <c r="AA59" s="31" t="inlineStr">
        <is>
          <t>IncI2 (MOB-Recon bin)</t>
        </is>
      </c>
      <c r="AB59" s="31" t="n"/>
      <c r="AC59" s="25" t="inlineStr">
        <is>
          <t>|mcr-1.1|</t>
        </is>
      </c>
      <c r="AD59" s="19" t="n">
        <v>100</v>
      </c>
      <c r="AE59" s="19" t="n">
        <v>0.75</v>
      </c>
      <c r="AF59" s="19" t="inlineStr">
        <is>
          <t>no</t>
        </is>
      </c>
      <c r="AG59" s="19" t="inlineStr">
        <is>
          <t>Yes</t>
        </is>
      </c>
    </row>
    <row r="60" ht="15" customHeight="1" s="20">
      <c r="A60" s="25" t="inlineStr">
        <is>
          <t>PDT002807569.1</t>
        </is>
      </c>
      <c r="B60" s="25" t="inlineStr">
        <is>
          <t>SAMN48947214</t>
        </is>
      </c>
      <c r="C60" s="25" t="inlineStr">
        <is>
          <t>PRJNA1273464</t>
        </is>
      </c>
      <c r="D60" s="25" t="inlineStr">
        <is>
          <t>GCA_050938575.1</t>
        </is>
      </c>
      <c r="E60" s="25" t="n"/>
      <c r="F60" s="25" t="n"/>
      <c r="G60" s="25" t="inlineStr">
        <is>
          <t>GenBank assembly (no reads)</t>
        </is>
      </c>
      <c r="H60" s="25" t="inlineStr">
        <is>
          <t>S260</t>
        </is>
      </c>
      <c r="I60" s="25" t="inlineStr">
        <is>
          <t>Algeria</t>
        </is>
      </c>
      <c r="J60" s="25" t="inlineStr">
        <is>
          <t>Guelma</t>
        </is>
      </c>
      <c r="K60" s="25" t="inlineStr">
        <is>
          <t>2022</t>
        </is>
      </c>
      <c r="L60" s="25" t="inlineStr">
        <is>
          <t>2022-10-01</t>
        </is>
      </c>
      <c r="M60" s="25" t="n"/>
      <c r="N60" s="25" t="inlineStr">
        <is>
          <t>Poultry farm</t>
        </is>
      </c>
      <c r="O60" s="25" t="inlineStr">
        <is>
          <t>Poultry</t>
        </is>
      </c>
      <c r="P60" s="25" t="inlineStr">
        <is>
          <t>Poultry farm environment</t>
        </is>
      </c>
      <c r="Q60" s="25" t="inlineStr">
        <is>
          <t>environmental/other</t>
        </is>
      </c>
      <c r="R60" s="25" t="inlineStr">
        <is>
          <t>mcr-1.1</t>
        </is>
      </c>
      <c r="S60" s="25" t="n"/>
      <c r="T60" s="25" t="n"/>
      <c r="U60" s="25" t="n"/>
      <c r="V60" s="25" t="n"/>
      <c r="W60" s="25" t="n">
        <v>118</v>
      </c>
      <c r="X60" s="25" t="n">
        <v>11</v>
      </c>
      <c r="Y60" s="25" t="inlineStr">
        <is>
          <t>aadA2 aph(3')-Ia blaSHV-1 blaTEM-135 dfrA12 gyrA_D87N gyrA_S83L mcr-1.1 mph(A) parC_S80I sul1 sul2 tet(A) tet(D)</t>
        </is>
      </c>
      <c r="Z60" s="31" t="n">
        <v>226</v>
      </c>
      <c r="AA60" s="31" t="inlineStr">
        <is>
          <t>IncI2 (MOB-Recon bin)</t>
        </is>
      </c>
      <c r="AB60" s="31" t="n"/>
      <c r="AC60" s="25" t="inlineStr">
        <is>
          <t>|mcr-1.1|</t>
        </is>
      </c>
      <c r="AD60" s="19" t="n">
        <v>100</v>
      </c>
      <c r="AE60" s="19" t="n">
        <v>0.52</v>
      </c>
      <c r="AF60" s="19" t="inlineStr">
        <is>
          <t>no</t>
        </is>
      </c>
      <c r="AG60" s="19" t="inlineStr">
        <is>
          <t>Yes</t>
        </is>
      </c>
    </row>
    <row r="61" ht="15" customHeight="1" s="20">
      <c r="A61" s="25" t="inlineStr">
        <is>
          <t>PDT002807568.1</t>
        </is>
      </c>
      <c r="B61" s="25" t="inlineStr">
        <is>
          <t>SAMN48947183</t>
        </is>
      </c>
      <c r="C61" s="25" t="inlineStr">
        <is>
          <t>PRJNA1273464</t>
        </is>
      </c>
      <c r="D61" s="25" t="inlineStr">
        <is>
          <t>GCA_050938555.1</t>
        </is>
      </c>
      <c r="E61" s="25" t="n"/>
      <c r="F61" s="25" t="n"/>
      <c r="G61" s="25" t="inlineStr">
        <is>
          <t>GenBank assembly (no reads)</t>
        </is>
      </c>
      <c r="H61" s="25" t="inlineStr">
        <is>
          <t>PS03</t>
        </is>
      </c>
      <c r="I61" s="25" t="inlineStr">
        <is>
          <t>Algeria</t>
        </is>
      </c>
      <c r="J61" s="25" t="inlineStr">
        <is>
          <t>Guelma</t>
        </is>
      </c>
      <c r="K61" s="25" t="inlineStr">
        <is>
          <t>2022</t>
        </is>
      </c>
      <c r="L61" s="25" t="inlineStr">
        <is>
          <t>2022-05-01</t>
        </is>
      </c>
      <c r="M61" s="25" t="n"/>
      <c r="N61" s="25" t="inlineStr">
        <is>
          <t>Poultry farm</t>
        </is>
      </c>
      <c r="O61" s="25" t="inlineStr">
        <is>
          <t>Poultry</t>
        </is>
      </c>
      <c r="P61" s="25" t="inlineStr">
        <is>
          <t>Poultry farm environment</t>
        </is>
      </c>
      <c r="Q61" s="25" t="inlineStr">
        <is>
          <t>environmental/other</t>
        </is>
      </c>
      <c r="R61" s="25" t="inlineStr">
        <is>
          <t>mcr-1.1</t>
        </is>
      </c>
      <c r="S61" s="25" t="n"/>
      <c r="T61" s="25" t="n"/>
      <c r="U61" s="25" t="n"/>
      <c r="V61" s="25" t="n"/>
      <c r="W61" s="25" t="n">
        <v>128</v>
      </c>
      <c r="X61" s="25" t="n">
        <v>4</v>
      </c>
      <c r="Y61" s="25" t="inlineStr">
        <is>
          <t>dfrA14 gyrA_D87N gyrA_S83L mcr-1.1 parC_A56T parC_S80I parE_S458A qnrS1 tet(A)</t>
        </is>
      </c>
      <c r="Z61" s="31" t="n">
        <v>6756</v>
      </c>
      <c r="AA61" s="31" t="inlineStr">
        <is>
          <t>IncI2 (MOB-Recon bin)</t>
        </is>
      </c>
      <c r="AB61" s="31" t="n"/>
      <c r="AC61" s="25" t="inlineStr">
        <is>
          <t>|mcr-1.1|</t>
        </is>
      </c>
      <c r="AD61" s="19" t="n">
        <v>100</v>
      </c>
      <c r="AE61" s="19" t="n">
        <v>0.49</v>
      </c>
      <c r="AF61" s="19" t="inlineStr">
        <is>
          <t>no</t>
        </is>
      </c>
      <c r="AG61" s="19" t="inlineStr">
        <is>
          <t>Yes</t>
        </is>
      </c>
    </row>
    <row r="62" ht="15" customHeight="1" s="20">
      <c r="A62" s="25" t="inlineStr">
        <is>
          <t>PDT002807567.1</t>
        </is>
      </c>
      <c r="B62" s="25" t="inlineStr">
        <is>
          <t>SAMN48947189</t>
        </is>
      </c>
      <c r="C62" s="25" t="inlineStr">
        <is>
          <t>PRJNA1273464</t>
        </is>
      </c>
      <c r="D62" s="25" t="inlineStr">
        <is>
          <t>GCA_050938535.1</t>
        </is>
      </c>
      <c r="E62" s="25" t="n"/>
      <c r="F62" s="25" t="n"/>
      <c r="G62" s="25" t="inlineStr">
        <is>
          <t>GenBank assembly (no reads)</t>
        </is>
      </c>
      <c r="H62" s="25" t="inlineStr">
        <is>
          <t>PS09</t>
        </is>
      </c>
      <c r="I62" s="25" t="inlineStr">
        <is>
          <t>Algeria</t>
        </is>
      </c>
      <c r="J62" s="25" t="inlineStr">
        <is>
          <t>Guelma</t>
        </is>
      </c>
      <c r="K62" s="25" t="inlineStr">
        <is>
          <t>2022</t>
        </is>
      </c>
      <c r="L62" s="25" t="inlineStr">
        <is>
          <t>2022-07-01</t>
        </is>
      </c>
      <c r="M62" s="25" t="n"/>
      <c r="N62" s="25" t="inlineStr">
        <is>
          <t>Poultry farm</t>
        </is>
      </c>
      <c r="O62" s="25" t="inlineStr">
        <is>
          <t>Poultry</t>
        </is>
      </c>
      <c r="P62" s="25" t="inlineStr">
        <is>
          <t>Poultry farm environment</t>
        </is>
      </c>
      <c r="Q62" s="25" t="inlineStr">
        <is>
          <t>environmental/other</t>
        </is>
      </c>
      <c r="R62" s="25" t="inlineStr">
        <is>
          <t>mcr-1.1</t>
        </is>
      </c>
      <c r="S62" s="25" t="n"/>
      <c r="T62" s="25" t="n"/>
      <c r="U62" s="25" t="n"/>
      <c r="V62" s="25" t="n"/>
      <c r="W62" s="25" t="n">
        <v>203</v>
      </c>
      <c r="X62" s="25" t="n">
        <v>6</v>
      </c>
      <c r="Y62" s="25" t="inlineStr">
        <is>
          <t>aph(3'')-Ib aph(3')-Ia aph(6)-Id cirA_Q56Ter cyaA_S352T gyrA_D87N gyrA_S83L mcr-1.1 nfsA_Q26Ter nfsB_Q26Ter ompF_Q88Ter parC_E84K sul2 tet(B) uhpT_R326VfsTer10</t>
        </is>
      </c>
      <c r="Z62" s="31" t="n">
        <v>117</v>
      </c>
      <c r="AA62" s="31" t="inlineStr">
        <is>
          <t>IncI2</t>
        </is>
      </c>
      <c r="AB62" s="31" t="n"/>
      <c r="AC62" s="25" t="inlineStr">
        <is>
          <t>|mcr-1.1|</t>
        </is>
      </c>
      <c r="AD62" s="19" t="n">
        <v>100</v>
      </c>
      <c r="AE62" s="19" t="n">
        <v>0.54</v>
      </c>
      <c r="AF62" s="19" t="inlineStr">
        <is>
          <t>no</t>
        </is>
      </c>
      <c r="AG62" s="19" t="inlineStr">
        <is>
          <t>Yes</t>
        </is>
      </c>
    </row>
    <row r="63" ht="15" customHeight="1" s="20">
      <c r="A63" s="25" t="inlineStr">
        <is>
          <t>PDT002807566.1</t>
        </is>
      </c>
      <c r="B63" s="25" t="inlineStr">
        <is>
          <t>SAMN48947187</t>
        </is>
      </c>
      <c r="C63" s="25" t="inlineStr">
        <is>
          <t>PRJNA1273464</t>
        </is>
      </c>
      <c r="D63" s="25" t="inlineStr">
        <is>
          <t>GCA_050938515.1</t>
        </is>
      </c>
      <c r="E63" s="25" t="n"/>
      <c r="F63" s="25" t="n"/>
      <c r="G63" s="25" t="inlineStr">
        <is>
          <t>GenBank assembly (no reads)</t>
        </is>
      </c>
      <c r="H63" s="25" t="inlineStr">
        <is>
          <t>PS07</t>
        </is>
      </c>
      <c r="I63" s="25" t="inlineStr">
        <is>
          <t>Algeria</t>
        </is>
      </c>
      <c r="J63" s="25" t="inlineStr">
        <is>
          <t>Guelma</t>
        </is>
      </c>
      <c r="K63" s="25" t="inlineStr">
        <is>
          <t>2022</t>
        </is>
      </c>
      <c r="L63" s="25" t="inlineStr">
        <is>
          <t>2022-07-01</t>
        </is>
      </c>
      <c r="M63" s="25" t="n"/>
      <c r="N63" s="25" t="inlineStr">
        <is>
          <t>Poultry farm</t>
        </is>
      </c>
      <c r="O63" s="25" t="inlineStr">
        <is>
          <t>Poultry</t>
        </is>
      </c>
      <c r="P63" s="25" t="inlineStr">
        <is>
          <t>Poultry farm environment</t>
        </is>
      </c>
      <c r="Q63" s="25" t="inlineStr">
        <is>
          <t>environmental/other</t>
        </is>
      </c>
      <c r="R63" s="25" t="inlineStr">
        <is>
          <t>mcr-1.1</t>
        </is>
      </c>
      <c r="S63" s="25" t="n"/>
      <c r="T63" s="25" t="n"/>
      <c r="U63" s="25" t="n"/>
      <c r="V63" s="25" t="n"/>
      <c r="W63" s="25" t="n">
        <v>265</v>
      </c>
      <c r="X63" s="25" t="n">
        <v>7</v>
      </c>
      <c r="Y63" s="25" t="inlineStr">
        <is>
          <t>aadA2 blaTEM-1 dfrA12 gyrA_D87Y gyrA_S83L mcr-1.1 mph(A) parC_S80I sul1 tet(A)</t>
        </is>
      </c>
      <c r="Z63" s="31" t="n">
        <v>189</v>
      </c>
      <c r="AA63" s="31" t="inlineStr">
        <is>
          <t>IncI2</t>
        </is>
      </c>
      <c r="AB63" s="31" t="n"/>
      <c r="AC63" s="25" t="inlineStr">
        <is>
          <t>|mcr-1.1|</t>
        </is>
      </c>
      <c r="AD63" s="19" t="n">
        <v>100</v>
      </c>
      <c r="AE63" s="19" t="n">
        <v>0.74</v>
      </c>
      <c r="AF63" s="19" t="inlineStr">
        <is>
          <t>no</t>
        </is>
      </c>
      <c r="AG63" s="19" t="inlineStr">
        <is>
          <t>Yes</t>
        </is>
      </c>
    </row>
    <row r="64" ht="15" customHeight="1" s="20">
      <c r="A64" s="25" t="inlineStr">
        <is>
          <t>PDT002807565.1</t>
        </is>
      </c>
      <c r="B64" s="25" t="inlineStr">
        <is>
          <t>SAMN48947190</t>
        </is>
      </c>
      <c r="C64" s="25" t="inlineStr">
        <is>
          <t>PRJNA1273464</t>
        </is>
      </c>
      <c r="D64" s="25" t="inlineStr">
        <is>
          <t>GCA_050938495.1</t>
        </is>
      </c>
      <c r="E64" s="25" t="n"/>
      <c r="F64" s="25" t="n"/>
      <c r="G64" s="25" t="inlineStr">
        <is>
          <t>GenBank assembly (no reads)</t>
        </is>
      </c>
      <c r="H64" s="25" t="inlineStr">
        <is>
          <t>PS10</t>
        </is>
      </c>
      <c r="I64" s="25" t="inlineStr">
        <is>
          <t>Algeria</t>
        </is>
      </c>
      <c r="J64" s="25" t="inlineStr">
        <is>
          <t>Guelma</t>
        </is>
      </c>
      <c r="K64" s="25" t="inlineStr">
        <is>
          <t>2022</t>
        </is>
      </c>
      <c r="L64" s="25" t="inlineStr">
        <is>
          <t>2022-07-01</t>
        </is>
      </c>
      <c r="M64" s="25" t="n"/>
      <c r="N64" s="25" t="inlineStr">
        <is>
          <t>Poultry farm</t>
        </is>
      </c>
      <c r="O64" s="25" t="inlineStr">
        <is>
          <t>Poultry</t>
        </is>
      </c>
      <c r="P64" s="25" t="inlineStr">
        <is>
          <t>Poultry farm environment</t>
        </is>
      </c>
      <c r="Q64" s="25" t="inlineStr">
        <is>
          <t>environmental/other</t>
        </is>
      </c>
      <c r="R64" s="25" t="inlineStr">
        <is>
          <t>mcr-1.1</t>
        </is>
      </c>
      <c r="S64" s="25" t="n"/>
      <c r="T64" s="25" t="n"/>
      <c r="U64" s="25" t="n"/>
      <c r="V64" s="25" t="n"/>
      <c r="W64" s="25" t="n">
        <v>164</v>
      </c>
      <c r="X64" s="25" t="n">
        <v>6</v>
      </c>
      <c r="Y64" s="25" t="inlineStr">
        <is>
          <t>aadA1 cirA_G335AfsTer12 cyaA_S352T dfrA1 estX gyrA_D87N gyrA_S83L mcr-1.1 parC_S80I sul3 tet(A)</t>
        </is>
      </c>
      <c r="Z64" s="31" t="n">
        <v>770</v>
      </c>
      <c r="AA64" s="31" t="inlineStr">
        <is>
          <t>IncI2</t>
        </is>
      </c>
      <c r="AB64" s="31" t="n"/>
      <c r="AC64" s="25" t="inlineStr">
        <is>
          <t>|mcr-1.1|</t>
        </is>
      </c>
      <c r="AD64" s="19" t="n">
        <v>100</v>
      </c>
      <c r="AE64" s="19" t="n">
        <v>0.13</v>
      </c>
      <c r="AF64" s="19" t="inlineStr">
        <is>
          <t>no</t>
        </is>
      </c>
      <c r="AG64" s="19" t="inlineStr">
        <is>
          <t>Yes</t>
        </is>
      </c>
    </row>
    <row r="65" ht="15" customHeight="1" s="20">
      <c r="A65" s="25" t="inlineStr">
        <is>
          <t>PDT002807564.1</t>
        </is>
      </c>
      <c r="B65" s="25" t="inlineStr">
        <is>
          <t>SAMN48947192</t>
        </is>
      </c>
      <c r="C65" s="25" t="inlineStr">
        <is>
          <t>PRJNA1273464</t>
        </is>
      </c>
      <c r="D65" s="25" t="inlineStr">
        <is>
          <t>GCA_050938475.1</t>
        </is>
      </c>
      <c r="E65" s="25" t="n"/>
      <c r="F65" s="25" t="n"/>
      <c r="G65" s="25" t="inlineStr">
        <is>
          <t>GenBank assembly (no reads)</t>
        </is>
      </c>
      <c r="H65" s="25" t="inlineStr">
        <is>
          <t>PS12</t>
        </is>
      </c>
      <c r="I65" s="25" t="inlineStr">
        <is>
          <t>Algeria</t>
        </is>
      </c>
      <c r="J65" s="25" t="inlineStr">
        <is>
          <t>Guelma</t>
        </is>
      </c>
      <c r="K65" s="25" t="inlineStr">
        <is>
          <t>2022</t>
        </is>
      </c>
      <c r="L65" s="25" t="inlineStr">
        <is>
          <t>2022-07-01</t>
        </is>
      </c>
      <c r="M65" s="25" t="n"/>
      <c r="N65" s="25" t="inlineStr">
        <is>
          <t>Poultry farm</t>
        </is>
      </c>
      <c r="O65" s="25" t="inlineStr">
        <is>
          <t>Poultry</t>
        </is>
      </c>
      <c r="P65" s="25" t="inlineStr">
        <is>
          <t>Poultry farm environment</t>
        </is>
      </c>
      <c r="Q65" s="25" t="inlineStr">
        <is>
          <t>environmental/other</t>
        </is>
      </c>
      <c r="R65" s="25" t="inlineStr">
        <is>
          <t>mcr-1.1</t>
        </is>
      </c>
      <c r="S65" s="25" t="n"/>
      <c r="T65" s="25" t="n"/>
      <c r="U65" s="25" t="n"/>
      <c r="V65" s="25" t="n"/>
      <c r="W65" s="25" t="n">
        <v>90</v>
      </c>
      <c r="X65" s="25" t="n">
        <v>7</v>
      </c>
      <c r="Y65" s="25" t="inlineStr">
        <is>
          <t>aadA1 aadA2 aph(3')-Ia cmlA1 cyaA_S352T estX-3 gyrA_D87N gyrA_S83L mcr-1.1 parC_S80I sul3</t>
        </is>
      </c>
      <c r="Z65" s="31" t="n">
        <v>3941</v>
      </c>
      <c r="AA65" s="31" t="inlineStr">
        <is>
          <t>IncI2</t>
        </is>
      </c>
      <c r="AB65" s="31" t="n"/>
      <c r="AC65" s="25" t="inlineStr">
        <is>
          <t>|mcr-1.1|</t>
        </is>
      </c>
      <c r="AD65" s="19" t="n">
        <v>100</v>
      </c>
      <c r="AE65" s="19" t="n">
        <v>0.51</v>
      </c>
      <c r="AF65" s="19" t="inlineStr">
        <is>
          <t>no</t>
        </is>
      </c>
      <c r="AG65" s="19" t="inlineStr">
        <is>
          <t>Yes</t>
        </is>
      </c>
    </row>
    <row r="66" ht="15" customHeight="1" s="20">
      <c r="A66" s="25" t="inlineStr">
        <is>
          <t>PDT002807562.1</t>
        </is>
      </c>
      <c r="B66" s="25" t="inlineStr">
        <is>
          <t>SAMN48947197</t>
        </is>
      </c>
      <c r="C66" s="25" t="inlineStr">
        <is>
          <t>PRJNA1273464</t>
        </is>
      </c>
      <c r="D66" s="25" t="inlineStr">
        <is>
          <t>GCA_050938435.1</t>
        </is>
      </c>
      <c r="E66" s="25" t="n"/>
      <c r="F66" s="25" t="n"/>
      <c r="G66" s="25" t="inlineStr">
        <is>
          <t>GenBank assembly (no reads)</t>
        </is>
      </c>
      <c r="H66" s="25" t="inlineStr">
        <is>
          <t>PS17</t>
        </is>
      </c>
      <c r="I66" s="25" t="inlineStr">
        <is>
          <t>Algeria</t>
        </is>
      </c>
      <c r="J66" s="25" t="inlineStr">
        <is>
          <t>Guelma</t>
        </is>
      </c>
      <c r="K66" s="25" t="inlineStr">
        <is>
          <t>2022</t>
        </is>
      </c>
      <c r="L66" s="25" t="inlineStr">
        <is>
          <t>2022-07-01</t>
        </is>
      </c>
      <c r="M66" s="25" t="n"/>
      <c r="N66" s="25" t="inlineStr">
        <is>
          <t>Poultry farm</t>
        </is>
      </c>
      <c r="O66" s="25" t="inlineStr">
        <is>
          <t>Poultry</t>
        </is>
      </c>
      <c r="P66" s="25" t="inlineStr">
        <is>
          <t>Poultry farm environment</t>
        </is>
      </c>
      <c r="Q66" s="25" t="inlineStr">
        <is>
          <t>environmental/other</t>
        </is>
      </c>
      <c r="R66" s="25" t="inlineStr">
        <is>
          <t>mcr-1.1</t>
        </is>
      </c>
      <c r="S66" s="25" t="n"/>
      <c r="T66" s="25" t="n"/>
      <c r="U66" s="25" t="n"/>
      <c r="V66" s="25" t="n"/>
      <c r="W66" s="25" t="n">
        <v>230</v>
      </c>
      <c r="X66" s="25" t="n">
        <v>7</v>
      </c>
      <c r="Y66" s="25" t="inlineStr">
        <is>
          <t>aadA2 blaTEM-1 dfrA12 gyrA_D87Y gyrA_S83L mcr-1.1 mph(A) parC_S80I sul1 tet(A)</t>
        </is>
      </c>
      <c r="Z66" s="31" t="n">
        <v>189</v>
      </c>
      <c r="AA66" s="31" t="inlineStr">
        <is>
          <t>IncI2</t>
        </is>
      </c>
      <c r="AB66" s="31" t="n"/>
      <c r="AC66" s="25" t="inlineStr">
        <is>
          <t>|mcr-1.1|</t>
        </is>
      </c>
      <c r="AD66" s="19" t="n">
        <v>100</v>
      </c>
      <c r="AE66" s="19" t="n">
        <v>0.72</v>
      </c>
      <c r="AF66" s="19" t="inlineStr">
        <is>
          <t>no</t>
        </is>
      </c>
      <c r="AG66" s="19" t="inlineStr">
        <is>
          <t>Yes</t>
        </is>
      </c>
    </row>
    <row r="67" ht="15" customHeight="1" s="20">
      <c r="A67" s="25" t="inlineStr">
        <is>
          <t>PDT002807561.1</t>
        </is>
      </c>
      <c r="B67" s="25" t="inlineStr">
        <is>
          <t>SAMN48947194</t>
        </is>
      </c>
      <c r="C67" s="25" t="inlineStr">
        <is>
          <t>PRJNA1273464</t>
        </is>
      </c>
      <c r="D67" s="25" t="inlineStr">
        <is>
          <t>GCA_050938415.1</t>
        </is>
      </c>
      <c r="E67" s="25" t="n"/>
      <c r="F67" s="25" t="n"/>
      <c r="G67" s="25" t="inlineStr">
        <is>
          <t>GenBank assembly (no reads)</t>
        </is>
      </c>
      <c r="H67" s="25" t="inlineStr">
        <is>
          <t>PS14</t>
        </is>
      </c>
      <c r="I67" s="25" t="inlineStr">
        <is>
          <t>Algeria</t>
        </is>
      </c>
      <c r="J67" s="25" t="inlineStr">
        <is>
          <t>Guelma</t>
        </is>
      </c>
      <c r="K67" s="25" t="inlineStr">
        <is>
          <t>2022</t>
        </is>
      </c>
      <c r="L67" s="25" t="inlineStr">
        <is>
          <t>2022-07-01</t>
        </is>
      </c>
      <c r="M67" s="25" t="n"/>
      <c r="N67" s="25" t="inlineStr">
        <is>
          <t>Poultry farm</t>
        </is>
      </c>
      <c r="O67" s="25" t="inlineStr">
        <is>
          <t>Poultry</t>
        </is>
      </c>
      <c r="P67" s="25" t="inlineStr">
        <is>
          <t>Poultry farm environment</t>
        </is>
      </c>
      <c r="Q67" s="25" t="inlineStr">
        <is>
          <t>environmental/other</t>
        </is>
      </c>
      <c r="R67" s="25" t="inlineStr">
        <is>
          <t>mcr-1.1</t>
        </is>
      </c>
      <c r="S67" s="25" t="n"/>
      <c r="T67" s="25" t="n"/>
      <c r="U67" s="25" t="n"/>
      <c r="V67" s="25" t="n"/>
      <c r="W67" s="25" t="n">
        <v>156</v>
      </c>
      <c r="X67" s="25" t="n">
        <v>12</v>
      </c>
      <c r="Y67" s="25" t="inlineStr">
        <is>
          <t>aadA1 aadA2 aph(3')-Ia blaTEM-1 cmlA1 cyaA_S352T dfrA14 estX-3 gyrA_D87N gyrA_S83L mcr-1.1 mph(A) parC_E84G parC_S80I parE_I355T sul2 sul3 tet(A) uhpT_E350Q</t>
        </is>
      </c>
      <c r="Z67" s="31" t="n">
        <v>354</v>
      </c>
      <c r="AA67" s="31" t="inlineStr">
        <is>
          <t>IncI2</t>
        </is>
      </c>
      <c r="AB67" s="31" t="n"/>
      <c r="AC67" s="25" t="inlineStr">
        <is>
          <t>|mcr-1.1|</t>
        </is>
      </c>
      <c r="AD67" s="19" t="n">
        <v>100</v>
      </c>
      <c r="AE67" s="19" t="n">
        <v>1.22</v>
      </c>
      <c r="AF67" s="19" t="inlineStr">
        <is>
          <t>no</t>
        </is>
      </c>
      <c r="AG67" s="19" t="inlineStr">
        <is>
          <t>Yes</t>
        </is>
      </c>
    </row>
    <row r="68" ht="15" customHeight="1" s="20">
      <c r="A68" s="25" t="inlineStr">
        <is>
          <t>PDT002807560.1</t>
        </is>
      </c>
      <c r="B68" s="25" t="inlineStr">
        <is>
          <t>SAMN48947198</t>
        </is>
      </c>
      <c r="C68" s="25" t="inlineStr">
        <is>
          <t>PRJNA1273464</t>
        </is>
      </c>
      <c r="D68" s="25" t="inlineStr">
        <is>
          <t>GCA_050938395.1</t>
        </is>
      </c>
      <c r="E68" s="25" t="n"/>
      <c r="F68" s="25" t="n"/>
      <c r="G68" s="25" t="inlineStr">
        <is>
          <t>GenBank assembly (no reads)</t>
        </is>
      </c>
      <c r="H68" s="25" t="inlineStr">
        <is>
          <t>PS18</t>
        </is>
      </c>
      <c r="I68" s="25" t="inlineStr">
        <is>
          <t>Algeria</t>
        </is>
      </c>
      <c r="J68" s="25" t="inlineStr">
        <is>
          <t>Guelma</t>
        </is>
      </c>
      <c r="K68" s="25" t="inlineStr">
        <is>
          <t>2022</t>
        </is>
      </c>
      <c r="L68" s="25" t="inlineStr">
        <is>
          <t>2022-07-01</t>
        </is>
      </c>
      <c r="M68" s="25" t="n"/>
      <c r="N68" s="25" t="inlineStr">
        <is>
          <t>Poultry farm</t>
        </is>
      </c>
      <c r="O68" s="25" t="inlineStr">
        <is>
          <t>Poultry</t>
        </is>
      </c>
      <c r="P68" s="25" t="inlineStr">
        <is>
          <t>Poultry farm environment</t>
        </is>
      </c>
      <c r="Q68" s="25" t="inlineStr">
        <is>
          <t>environmental/other</t>
        </is>
      </c>
      <c r="R68" s="25" t="inlineStr">
        <is>
          <t>mcr-1.1</t>
        </is>
      </c>
      <c r="S68" s="25" t="n"/>
      <c r="T68" s="25" t="n"/>
      <c r="U68" s="25" t="n"/>
      <c r="V68" s="25" t="n"/>
      <c r="W68" s="25" t="n">
        <v>107</v>
      </c>
      <c r="X68" s="25" t="n">
        <v>3</v>
      </c>
      <c r="Y68" s="25" t="inlineStr">
        <is>
          <t>blaTEM-1 gyrA_D87N gyrA_S83L mcr-1.1 parC_E84A parC_S80I tet(A)</t>
        </is>
      </c>
      <c r="Z68" s="31" t="n">
        <v>162</v>
      </c>
      <c r="AA68" s="31" t="inlineStr">
        <is>
          <t>IncI2</t>
        </is>
      </c>
      <c r="AB68" s="31" t="n"/>
      <c r="AC68" s="25" t="inlineStr">
        <is>
          <t>|mcr-1.1|</t>
        </is>
      </c>
      <c r="AD68" s="19" t="n">
        <v>100</v>
      </c>
      <c r="AE68" s="19" t="n">
        <v>0.28</v>
      </c>
      <c r="AF68" s="19" t="inlineStr">
        <is>
          <t>no</t>
        </is>
      </c>
      <c r="AG68" s="19" t="inlineStr">
        <is>
          <t>Yes</t>
        </is>
      </c>
    </row>
    <row r="69" ht="15" customHeight="1" s="20">
      <c r="A69" s="25" t="inlineStr">
        <is>
          <t>PDT002756480.1</t>
        </is>
      </c>
      <c r="B69" s="25" t="inlineStr">
        <is>
          <t>SAMN48122305</t>
        </is>
      </c>
      <c r="C69" s="25" t="inlineStr">
        <is>
          <t>PRJNA1254764</t>
        </is>
      </c>
      <c r="D69" s="25" t="inlineStr">
        <is>
          <t>GCA_050106675.1</t>
        </is>
      </c>
      <c r="E69" s="25" t="n"/>
      <c r="F69" s="25" t="n"/>
      <c r="G69" s="25" t="inlineStr">
        <is>
          <t>GenBank assembly (no reads)</t>
        </is>
      </c>
      <c r="H69" s="25" t="inlineStr">
        <is>
          <t>FKK19-219</t>
        </is>
      </c>
      <c r="I69" s="25" t="inlineStr">
        <is>
          <t>Togo</t>
        </is>
      </c>
      <c r="J69" s="25" t="inlineStr">
        <is>
          <t>Savannas</t>
        </is>
      </c>
      <c r="K69" s="25" t="inlineStr">
        <is>
          <t>2022</t>
        </is>
      </c>
      <c r="L69" s="25" t="inlineStr">
        <is>
          <t>2022-09</t>
        </is>
      </c>
      <c r="M69" s="25" t="inlineStr">
        <is>
          <t>Homo sapiens</t>
        </is>
      </c>
      <c r="N69" s="25" t="inlineStr">
        <is>
          <t>feces</t>
        </is>
      </c>
      <c r="O69" s="25" t="inlineStr">
        <is>
          <t>Human</t>
        </is>
      </c>
      <c r="P69" s="25" t="n"/>
      <c r="Q69" s="25" t="inlineStr">
        <is>
          <t>clinical</t>
        </is>
      </c>
      <c r="R69" s="25" t="inlineStr">
        <is>
          <t>mcr-9.1</t>
        </is>
      </c>
      <c r="S69" s="25" t="n"/>
      <c r="T69" s="25" t="n"/>
      <c r="U69" s="25" t="n"/>
      <c r="V69" s="25" t="n"/>
      <c r="W69" s="25" t="n">
        <v>237</v>
      </c>
      <c r="X69" s="25" t="n">
        <v>4</v>
      </c>
      <c r="Y69" s="25" t="inlineStr">
        <is>
          <t>aph(3'')-Ib aph(6)-Id mcr-9.1 sul2</t>
        </is>
      </c>
      <c r="Z69" s="31" t="n">
        <v>1494</v>
      </c>
      <c r="AA69" s="31" t="inlineStr">
        <is>
          <t>Chromosomal or unresolved (MOB-Recon)</t>
        </is>
      </c>
      <c r="AB69" s="31" t="n"/>
      <c r="AC69" s="25" t="inlineStr">
        <is>
          <t>|mcr-9.1|</t>
        </is>
      </c>
      <c r="AD69" s="19" t="n">
        <v>100</v>
      </c>
      <c r="AE69" s="19" t="n">
        <v>0.23</v>
      </c>
      <c r="AF69" s="19" t="inlineStr">
        <is>
          <t>no</t>
        </is>
      </c>
      <c r="AG69" s="19" t="inlineStr">
        <is>
          <t>Yes</t>
        </is>
      </c>
    </row>
    <row r="70" ht="15" customHeight="1" s="20">
      <c r="A70" s="25" t="inlineStr">
        <is>
          <t>PDT002635093.1</t>
        </is>
      </c>
      <c r="B70" s="25" t="inlineStr">
        <is>
          <t>SAMEA114285223</t>
        </is>
      </c>
      <c r="C70" s="25" t="inlineStr">
        <is>
          <t>PRJEB64290</t>
        </is>
      </c>
      <c r="D70" s="25" t="n"/>
      <c r="E70" s="25" t="inlineStr">
        <is>
          <t>ERR13952704</t>
        </is>
      </c>
      <c r="F70" s="25" t="n"/>
      <c r="G70" s="25" t="inlineStr">
        <is>
          <t>SRA Illumina PE reads</t>
        </is>
      </c>
      <c r="H70" s="25" t="n"/>
      <c r="I70" s="25" t="inlineStr">
        <is>
          <t>Malawi</t>
        </is>
      </c>
      <c r="J70" s="25" t="n"/>
      <c r="K70" s="25" t="inlineStr">
        <is>
          <t>2005</t>
        </is>
      </c>
      <c r="L70" s="25" t="inlineStr">
        <is>
          <t>2005-11-01</t>
        </is>
      </c>
      <c r="M70" s="25" t="n"/>
      <c r="N70" s="25" t="n"/>
      <c r="O70" s="25" t="inlineStr">
        <is>
          <t>Unspecified</t>
        </is>
      </c>
      <c r="P70" s="25" t="n"/>
      <c r="Q70" s="25" t="n"/>
      <c r="R70" s="25" t="inlineStr">
        <is>
          <t>mcr-9.1</t>
        </is>
      </c>
      <c r="S70" s="25" t="n"/>
      <c r="T70" s="25" t="n"/>
      <c r="U70" s="25" t="n"/>
      <c r="V70" s="25" t="n"/>
      <c r="W70" s="25" t="n">
        <v>149</v>
      </c>
      <c r="X70" s="25" t="n">
        <v>14</v>
      </c>
      <c r="Y70" s="25" t="inlineStr">
        <is>
          <t>aac(3)-IIg aac(6')-IIc aadA1 aph(3'')-Ib aph(6)-Id arr blaTEM-1 catA1 cirA_Q56Ter cyaA_S352T dfrA1 ere(A) mcr-9.1 nfsA_Y128PfsTer6 nfsB_E165Ter sat2 sul1 sul2</t>
        </is>
      </c>
      <c r="Z70" s="31" t="n">
        <v>38</v>
      </c>
      <c r="AA70" s="31" t="inlineStr">
        <is>
          <t>IncHI2A (MOB-Recon bin)</t>
        </is>
      </c>
      <c r="AB70" s="31" t="n"/>
      <c r="AC70" s="25" t="inlineStr">
        <is>
          <t>|mcr-9.1|</t>
        </is>
      </c>
      <c r="AD70" s="19" t="n">
        <v>100</v>
      </c>
      <c r="AE70" s="19" t="n">
        <v>0.21</v>
      </c>
      <c r="AF70" s="19" t="inlineStr">
        <is>
          <t>no</t>
        </is>
      </c>
      <c r="AG70" s="19" t="inlineStr">
        <is>
          <t>Yes</t>
        </is>
      </c>
    </row>
    <row r="71" ht="15" customHeight="1" s="20">
      <c r="A71" s="25" t="inlineStr">
        <is>
          <t>PDT002634939.1</t>
        </is>
      </c>
      <c r="B71" s="25" t="inlineStr">
        <is>
          <t>SAMEA114284974</t>
        </is>
      </c>
      <c r="C71" s="25" t="inlineStr">
        <is>
          <t>PRJEB64290</t>
        </is>
      </c>
      <c r="D71" s="25" t="n"/>
      <c r="E71" s="25" t="inlineStr">
        <is>
          <t>ERR13952550</t>
        </is>
      </c>
      <c r="F71" s="25" t="n"/>
      <c r="G71" s="25" t="inlineStr">
        <is>
          <t>SRA Illumina PE reads</t>
        </is>
      </c>
      <c r="H71" s="25" t="n"/>
      <c r="I71" s="25" t="inlineStr">
        <is>
          <t>Malawi</t>
        </is>
      </c>
      <c r="J71" s="25" t="n"/>
      <c r="K71" s="25" t="inlineStr">
        <is>
          <t>2012</t>
        </is>
      </c>
      <c r="L71" s="25" t="inlineStr">
        <is>
          <t>2012-07-26</t>
        </is>
      </c>
      <c r="M71" s="25" t="n"/>
      <c r="N71" s="25" t="n"/>
      <c r="O71" s="25" t="inlineStr">
        <is>
          <t>Unspecified</t>
        </is>
      </c>
      <c r="P71" s="25" t="n"/>
      <c r="Q71" s="25" t="n"/>
      <c r="R71" s="25" t="inlineStr">
        <is>
          <t>mcr-9.1</t>
        </is>
      </c>
      <c r="S71" s="25" t="n"/>
      <c r="T71" s="25" t="n"/>
      <c r="U71" s="25" t="n"/>
      <c r="V71" s="25" t="n"/>
      <c r="W71" s="25" t="n">
        <v>179</v>
      </c>
      <c r="X71" s="25" t="n">
        <v>18</v>
      </c>
      <c r="Y71" s="25" t="inlineStr">
        <is>
          <t>aac(3)-IIg aac(6')-IIc aadA2 aadA5 aph(3'')-Ib aph(3')-Ia aph(6)-Id arr blaSHV-12 blaTEM-1 catA2 cyaA_S352T dfrA17 dfrA19 ere(A) mcr-9.1 mph(A) sul1 sul2</t>
        </is>
      </c>
      <c r="Z71" s="31" t="n">
        <v>69</v>
      </c>
      <c r="AA71" s="31" t="inlineStr">
        <is>
          <t>IncHI2A (MOB-Recon bin)</t>
        </is>
      </c>
      <c r="AB71" s="31" t="inlineStr">
        <is>
          <t>mcr contig only 2,627 bp; bin assignment is tentative.</t>
        </is>
      </c>
      <c r="AC71" s="25" t="inlineStr">
        <is>
          <t>|mcr-9.1|</t>
        </is>
      </c>
      <c r="AD71" s="19" t="n">
        <v>100</v>
      </c>
      <c r="AE71" s="19" t="n">
        <v>0.24</v>
      </c>
      <c r="AF71" s="19" t="inlineStr">
        <is>
          <t>no</t>
        </is>
      </c>
      <c r="AG71" s="19" t="inlineStr">
        <is>
          <t>Yes</t>
        </is>
      </c>
    </row>
    <row r="72" ht="15" customHeight="1" s="20">
      <c r="A72" s="25" t="inlineStr">
        <is>
          <t>PDT002478286.1</t>
        </is>
      </c>
      <c r="B72" s="25" t="inlineStr">
        <is>
          <t>SAMN44530435</t>
        </is>
      </c>
      <c r="C72" s="25" t="inlineStr">
        <is>
          <t>PRJNA1180919</t>
        </is>
      </c>
      <c r="D72" s="25" t="inlineStr">
        <is>
          <t>GCA_045037815.1</t>
        </is>
      </c>
      <c r="E72" s="25" t="n"/>
      <c r="F72" s="25" t="n"/>
      <c r="G72" s="25" t="inlineStr">
        <is>
          <t>GenBank assembly (no reads)</t>
        </is>
      </c>
      <c r="H72" s="25" t="inlineStr">
        <is>
          <t>98203</t>
        </is>
      </c>
      <c r="I72" s="25" t="inlineStr">
        <is>
          <t>Egypt</t>
        </is>
      </c>
      <c r="J72" s="25" t="inlineStr">
        <is>
          <t>Alexandria</t>
        </is>
      </c>
      <c r="K72" s="25" t="inlineStr">
        <is>
          <t>2020</t>
        </is>
      </c>
      <c r="L72" s="25" t="inlineStr">
        <is>
          <t>2020/2023</t>
        </is>
      </c>
      <c r="M72" s="25" t="inlineStr">
        <is>
          <t>Homo sapiens</t>
        </is>
      </c>
      <c r="N72" s="25" t="inlineStr">
        <is>
          <t>aspirate</t>
        </is>
      </c>
      <c r="O72" s="25" t="inlineStr">
        <is>
          <t>Human</t>
        </is>
      </c>
      <c r="P72" s="25" t="n"/>
      <c r="Q72" s="25" t="inlineStr">
        <is>
          <t>clinical</t>
        </is>
      </c>
      <c r="R72" s="25" t="inlineStr">
        <is>
          <t>mcr-1; mcr-1.1</t>
        </is>
      </c>
      <c r="S72" s="25" t="inlineStr">
        <is>
          <t>Yes</t>
        </is>
      </c>
      <c r="T72" s="25" t="inlineStr">
        <is>
          <t>blaCTX-M-104</t>
        </is>
      </c>
      <c r="U72" s="25" t="inlineStr">
        <is>
          <t>blaNDM-5</t>
        </is>
      </c>
      <c r="V72" s="25" t="n"/>
      <c r="W72" s="25" t="n">
        <v>9</v>
      </c>
      <c r="X72" s="25" t="n">
        <v>28</v>
      </c>
      <c r="Y72" s="25" t="inlineStr">
        <is>
          <t>aac(3)-IId aac(3)-IIe aadA1 aadA22 aph(3'')-Ib aph(3')-Ia aph(3')-VI aph(6)-Id armA blaCTX-M-104 blaNDM-5 blaTEM-1 ble cyaA_S352T dfrA1 dfrA5 estX floR gyrA_D87Y gyrA_S83L lnu(F) mcr-1.1 mcr-1 mph(A) mph(E) msr(E) nfsA_M110TerfsTer0 parC_S80I qnrS1 sat2 sul1 sul2 tet(B)</t>
        </is>
      </c>
      <c r="Z72" s="31" t="n">
        <v>624</v>
      </c>
      <c r="AA72" s="31" t="inlineStr">
        <is>
          <t>IncX4</t>
        </is>
      </c>
      <c r="AB72" s="31" t="inlineStr">
        <is>
          <t>mcr-1 call is PARTIAL_CONTIG_ENDX (71.5% coverage, 100.00% identity); check before counting. Galaxy AMRFinderPlus call (mcr-1) differs from PD (mcr-1; mcr-1.1).</t>
        </is>
      </c>
      <c r="AC72" s="25" t="inlineStr">
        <is>
          <t>|mcr-1|mcr-1.1|</t>
        </is>
      </c>
      <c r="AD72" s="19" t="n">
        <v>100</v>
      </c>
      <c r="AE72" s="19" t="n">
        <v>0.8100000000000001</v>
      </c>
      <c r="AF72" s="19" t="inlineStr">
        <is>
          <t>no</t>
        </is>
      </c>
      <c r="AG72" s="19" t="inlineStr">
        <is>
          <t>Yes</t>
        </is>
      </c>
    </row>
    <row r="73" ht="15" customHeight="1" s="20">
      <c r="A73" s="25" t="inlineStr">
        <is>
          <t>PDT002234959.1</t>
        </is>
      </c>
      <c r="B73" s="25" t="inlineStr">
        <is>
          <t>SAMN40756789</t>
        </is>
      </c>
      <c r="C73" s="25" t="inlineStr">
        <is>
          <t>PRJNA1096457</t>
        </is>
      </c>
      <c r="D73" s="25" t="inlineStr">
        <is>
          <t>GCA_040418245.1</t>
        </is>
      </c>
      <c r="E73" s="25" t="inlineStr">
        <is>
          <t>SRR33015174</t>
        </is>
      </c>
      <c r="F73" s="25" t="n"/>
      <c r="G73" s="25" t="inlineStr">
        <is>
          <t>SRA Illumina PE reads</t>
        </is>
      </c>
      <c r="H73" s="25" t="inlineStr">
        <is>
          <t>19-S29</t>
        </is>
      </c>
      <c r="I73" s="25" t="inlineStr">
        <is>
          <t>Niger</t>
        </is>
      </c>
      <c r="J73" s="25" t="n"/>
      <c r="K73" s="25" t="inlineStr">
        <is>
          <t>2016</t>
        </is>
      </c>
      <c r="L73" s="25" t="inlineStr">
        <is>
          <t>2016/2017</t>
        </is>
      </c>
      <c r="M73" s="25" t="inlineStr">
        <is>
          <t>Homo sapiens</t>
        </is>
      </c>
      <c r="N73" s="25" t="inlineStr">
        <is>
          <t>rectal swab</t>
        </is>
      </c>
      <c r="O73" s="25" t="inlineStr">
        <is>
          <t>Human</t>
        </is>
      </c>
      <c r="P73" s="25" t="n"/>
      <c r="Q73" s="25" t="inlineStr">
        <is>
          <t>clinical</t>
        </is>
      </c>
      <c r="R73" s="25" t="inlineStr">
        <is>
          <t>mcr-1</t>
        </is>
      </c>
      <c r="S73" s="25" t="n"/>
      <c r="T73" s="25" t="inlineStr">
        <is>
          <t>blaCTX-M-15</t>
        </is>
      </c>
      <c r="U73" s="25" t="inlineStr">
        <is>
          <t>blaNDM-5</t>
        </is>
      </c>
      <c r="V73" s="25" t="n"/>
      <c r="W73" s="25" t="n">
        <v>143</v>
      </c>
      <c r="X73" s="25" t="n">
        <v>14</v>
      </c>
      <c r="Y73" s="25" t="inlineStr">
        <is>
          <t>aac(6')-Ib-cr5 aadA2 acrR_V29YfsTer44 blaCTX-M-15 blaNDM-5 blaOXA-1 blaTEM-1 ble catB3 cirA_S90YfsTer15 dfrA12 ftsI_N337NYRIN gyrA_D87N gyrA_S83L mcr-1 mph(A) parC_S80I parE_S458A rmtB1 sul1 tet(A)</t>
        </is>
      </c>
      <c r="Z73" s="31" t="n">
        <v>167</v>
      </c>
      <c r="AA73" s="31" t="inlineStr">
        <is>
          <t>Chromosomal or unresolved (MOB-Recon)</t>
        </is>
      </c>
      <c r="AB73" s="31" t="inlineStr">
        <is>
          <t>mcr contig only 857 bp; bin assignment is tentative. mcr-1 call is PARTIAL_CONTIG_ENDX (52.8% coverage, 100.00% identity); check before counting.</t>
        </is>
      </c>
      <c r="AC73" s="25" t="inlineStr">
        <is>
          <t>|mcr-1|</t>
        </is>
      </c>
      <c r="AD73" s="19" t="n">
        <v>100</v>
      </c>
      <c r="AE73" s="19" t="n">
        <v>0.64</v>
      </c>
      <c r="AF73" s="19" t="inlineStr">
        <is>
          <t>no</t>
        </is>
      </c>
      <c r="AG73" s="19" t="inlineStr">
        <is>
          <t>Yes</t>
        </is>
      </c>
    </row>
    <row r="74" ht="15" customHeight="1" s="20">
      <c r="A74" s="25" t="inlineStr">
        <is>
          <t>PDT002120753.1</t>
        </is>
      </c>
      <c r="B74" s="25" t="inlineStr">
        <is>
          <t>SAMEA115084356</t>
        </is>
      </c>
      <c r="C74" s="25" t="inlineStr">
        <is>
          <t>PRJEB71714</t>
        </is>
      </c>
      <c r="D74" s="25" t="inlineStr">
        <is>
          <t>GCA_964007345.1</t>
        </is>
      </c>
      <c r="E74" s="25" t="inlineStr">
        <is>
          <t>ERR12409409</t>
        </is>
      </c>
      <c r="F74" s="25" t="n"/>
      <c r="G74" s="25" t="inlineStr">
        <is>
          <t>SRA Illumina PE reads</t>
        </is>
      </c>
      <c r="H74" s="25" t="inlineStr">
        <is>
          <t>FFDD-150</t>
        </is>
      </c>
      <c r="I74" s="25" t="inlineStr">
        <is>
          <t>Tanzania</t>
        </is>
      </c>
      <c r="J74" s="25" t="n"/>
      <c r="K74" s="25" t="inlineStr">
        <is>
          <t>2021</t>
        </is>
      </c>
      <c r="L74" s="25" t="inlineStr">
        <is>
          <t>2021</t>
        </is>
      </c>
      <c r="M74" s="25" t="inlineStr">
        <is>
          <t>Homo sapiens</t>
        </is>
      </c>
      <c r="N74" s="25" t="inlineStr">
        <is>
          <t>HVS</t>
        </is>
      </c>
      <c r="O74" s="25" t="inlineStr">
        <is>
          <t>Human</t>
        </is>
      </c>
      <c r="P74" s="25" t="n"/>
      <c r="Q74" s="25" t="inlineStr">
        <is>
          <t>clinical</t>
        </is>
      </c>
      <c r="R74" s="25" t="inlineStr">
        <is>
          <t>mcr-10.1</t>
        </is>
      </c>
      <c r="S74" s="25" t="n"/>
      <c r="T74" s="25" t="n"/>
      <c r="U74" s="25" t="n"/>
      <c r="V74" s="25" t="n"/>
      <c r="W74" s="25" t="n">
        <v>178</v>
      </c>
      <c r="X74" s="25" t="n">
        <v>9</v>
      </c>
      <c r="Y74" s="25" t="inlineStr">
        <is>
          <t>aac(3)-IId aph(3'')-Ib aph(6)-Id catA2 dfrA14 mcr-10.1 parC_A56T qnrS1 sul2 tet(D)</t>
        </is>
      </c>
      <c r="Z74" s="31" t="n">
        <v>206</v>
      </c>
      <c r="AA74" s="31" t="inlineStr">
        <is>
          <t>rep_cluster_1418 (MOB-Recon bin)</t>
        </is>
      </c>
      <c r="AB74" s="31" t="inlineStr">
        <is>
          <t>mcr contig only 3,681 bp; bin assignment is tentative.</t>
        </is>
      </c>
      <c r="AC74" s="25" t="inlineStr">
        <is>
          <t>|mcr-10.1|</t>
        </is>
      </c>
      <c r="AD74" s="19" t="n">
        <v>100</v>
      </c>
      <c r="AE74" s="19" t="n">
        <v>0.16</v>
      </c>
      <c r="AF74" s="19" t="inlineStr">
        <is>
          <t>no</t>
        </is>
      </c>
      <c r="AG74" s="19" t="inlineStr">
        <is>
          <t>Yes</t>
        </is>
      </c>
    </row>
    <row r="75" ht="15" customHeight="1" s="20">
      <c r="A75" s="25" t="inlineStr">
        <is>
          <t>PDT003398482.1</t>
        </is>
      </c>
      <c r="B75" s="25" t="inlineStr">
        <is>
          <t>SAMN38019464</t>
        </is>
      </c>
      <c r="C75" s="25" t="inlineStr">
        <is>
          <t>PRJNA860154</t>
        </is>
      </c>
      <c r="D75" s="25" t="inlineStr">
        <is>
          <t>GCA_033342895.1</t>
        </is>
      </c>
      <c r="E75" s="25" t="n"/>
      <c r="F75" s="25" t="n"/>
      <c r="G75" s="25" t="inlineStr">
        <is>
          <t>GenBank assembly (no reads)</t>
        </is>
      </c>
      <c r="H75" s="25" t="inlineStr">
        <is>
          <t>NN-MR491</t>
        </is>
      </c>
      <c r="I75" s="25" t="inlineStr">
        <is>
          <t>Nigeria</t>
        </is>
      </c>
      <c r="J75" s="25" t="n"/>
      <c r="K75" s="25" t="inlineStr">
        <is>
          <t>2015</t>
        </is>
      </c>
      <c r="L75" s="25" t="inlineStr">
        <is>
          <t>2015</t>
        </is>
      </c>
      <c r="M75" s="25" t="inlineStr">
        <is>
          <t>Homo sapiens</t>
        </is>
      </c>
      <c r="N75" s="25" t="inlineStr">
        <is>
          <t>rectal</t>
        </is>
      </c>
      <c r="O75" s="25" t="inlineStr">
        <is>
          <t>Human</t>
        </is>
      </c>
      <c r="P75" s="25" t="n"/>
      <c r="Q75" s="25" t="inlineStr">
        <is>
          <t>clinical</t>
        </is>
      </c>
      <c r="R75" s="25" t="inlineStr">
        <is>
          <t>mcr-1.1</t>
        </is>
      </c>
      <c r="S75" s="25" t="n"/>
      <c r="T75" s="25" t="n"/>
      <c r="U75" s="25" t="n"/>
      <c r="V75" s="25" t="n"/>
      <c r="W75" s="25" t="n">
        <v>2</v>
      </c>
      <c r="X75" s="25" t="n">
        <v>22</v>
      </c>
      <c r="Y75" s="25" t="inlineStr">
        <is>
          <t>aac(3)-IIe aadA1 aadA2 acrR_E190KfsTer54 ant(2'')-Ia aph(3'')-Ib aph(3')-Ia aph(6)-Id blaOXA-1 blaTEM-1 catA1 cmlA1 dfrA1 dfrA24 dfrA36 estX-3 floR gyrA_D87N gyrA_S83L mcr-1.1 ompF_Y124TerfsTer0 parC_E84G parC_S80I sul1 sul2 sul3 tet(A) tet(B)</t>
        </is>
      </c>
      <c r="Z75" s="31" t="n">
        <v>1266</v>
      </c>
      <c r="AA75" s="31" t="inlineStr">
        <is>
          <t>IncHI2 / IncHI2A / IncQ1</t>
        </is>
      </c>
      <c r="AB75" s="31" t="n"/>
      <c r="AC75" s="25" t="inlineStr">
        <is>
          <t>|mcr-1.1|</t>
        </is>
      </c>
      <c r="AD75" s="19" t="n">
        <v>100</v>
      </c>
      <c r="AE75" s="19" t="n">
        <v>0.93</v>
      </c>
      <c r="AF75" s="19" t="inlineStr">
        <is>
          <t>no</t>
        </is>
      </c>
      <c r="AG75" s="19" t="inlineStr">
        <is>
          <t>Yes</t>
        </is>
      </c>
    </row>
    <row r="76" ht="15" customHeight="1" s="20">
      <c r="A76" s="25" t="inlineStr">
        <is>
          <t>PDT001866682.1</t>
        </is>
      </c>
      <c r="B76" s="25" t="inlineStr">
        <is>
          <t>SAMN35358213</t>
        </is>
      </c>
      <c r="C76" s="25" t="inlineStr">
        <is>
          <t>PRJNA976065</t>
        </is>
      </c>
      <c r="D76" s="25" t="inlineStr">
        <is>
          <t>GCA_030927905.1</t>
        </is>
      </c>
      <c r="E76" s="25" t="inlineStr">
        <is>
          <t>SRR24834186</t>
        </is>
      </c>
      <c r="F76" s="25" t="n"/>
      <c r="G76" s="25" t="inlineStr">
        <is>
          <t>SRA Illumina PE reads</t>
        </is>
      </c>
      <c r="H76" s="25" t="inlineStr">
        <is>
          <t>60280</t>
        </is>
      </c>
      <c r="I76" s="25" t="inlineStr">
        <is>
          <t>Tunisia</t>
        </is>
      </c>
      <c r="J76" s="25" t="n"/>
      <c r="K76" s="25" t="inlineStr">
        <is>
          <t>2022</t>
        </is>
      </c>
      <c r="L76" s="25" t="inlineStr">
        <is>
          <t>2022</t>
        </is>
      </c>
      <c r="M76" s="25" t="inlineStr">
        <is>
          <t>Sturnus vulgaris</t>
        </is>
      </c>
      <c r="N76" s="25" t="n"/>
      <c r="O76" s="25" t="inlineStr">
        <is>
          <t>Other animal</t>
        </is>
      </c>
      <c r="P76" s="25" t="n"/>
      <c r="Q76" s="25" t="n"/>
      <c r="R76" s="25" t="inlineStr">
        <is>
          <t>mcr-1</t>
        </is>
      </c>
      <c r="S76" s="25" t="n"/>
      <c r="T76" s="25" t="inlineStr">
        <is>
          <t>blaCTX-M-1</t>
        </is>
      </c>
      <c r="U76" s="25" t="n"/>
      <c r="V76" s="25" t="n"/>
      <c r="W76" s="25" t="n">
        <v>234</v>
      </c>
      <c r="X76" s="25" t="n">
        <v>12</v>
      </c>
      <c r="Y76" s="25" t="inlineStr">
        <is>
          <t>aadA1 aadA1 blaCTX-M-1 blaTEM-135 catA1 cyaA_S352T dfrA1 estT estX gyrA_D87N gyrA_S83L mcr-1 mph(B) ompF_D171AfsTer2 parC_S80R parE_L416F sat2 tet(A)</t>
        </is>
      </c>
      <c r="Z76" s="31" t="n">
        <v>38</v>
      </c>
      <c r="AA76" s="31" t="inlineStr">
        <is>
          <t>IncHI2A/IncI-gamma/K1/IncFIA/IncFIC (MOB-Recon bin, mixed replicons)</t>
        </is>
      </c>
      <c r="AB76" s="31" t="inlineStr">
        <is>
          <t>MOB-Recon bin holds more than one plasmid family; mcr plasmid type not resolved with short reads. mcr-1 call is PARTIALX (61.5% coverage, 100.00% identity); check before counting.</t>
        </is>
      </c>
      <c r="AC76" s="25" t="inlineStr">
        <is>
          <t>|mcr-1|</t>
        </is>
      </c>
      <c r="AD76" s="19" t="n">
        <v>100</v>
      </c>
      <c r="AE76" s="19" t="n">
        <v>0.14</v>
      </c>
      <c r="AF76" s="19" t="inlineStr">
        <is>
          <t>no</t>
        </is>
      </c>
      <c r="AG76" s="19" t="inlineStr">
        <is>
          <t>Yes</t>
        </is>
      </c>
    </row>
    <row r="77" ht="15" customHeight="1" s="20">
      <c r="A77" s="25" t="inlineStr">
        <is>
          <t>PDT001647733.2</t>
        </is>
      </c>
      <c r="B77" s="25" t="inlineStr">
        <is>
          <t>SAMN33246729</t>
        </is>
      </c>
      <c r="C77" s="25" t="inlineStr">
        <is>
          <t>PRJNA860154</t>
        </is>
      </c>
      <c r="D77" s="25" t="inlineStr">
        <is>
          <t>GCA_028882105.2</t>
        </is>
      </c>
      <c r="E77" s="25" t="n"/>
      <c r="F77" s="25" t="n"/>
      <c r="G77" s="25" t="inlineStr">
        <is>
          <t>GenBank assembly (no reads)</t>
        </is>
      </c>
      <c r="H77" s="25" t="inlineStr">
        <is>
          <t>NN-MR-49P</t>
        </is>
      </c>
      <c r="I77" s="25" t="inlineStr">
        <is>
          <t>Nigeria</t>
        </is>
      </c>
      <c r="J77" s="25" t="n"/>
      <c r="K77" s="25" t="inlineStr">
        <is>
          <t>2015</t>
        </is>
      </c>
      <c r="L77" s="25" t="inlineStr">
        <is>
          <t>2015</t>
        </is>
      </c>
      <c r="M77" s="25" t="inlineStr">
        <is>
          <t>Homo sapiens</t>
        </is>
      </c>
      <c r="N77" s="25" t="inlineStr">
        <is>
          <t>rectal swab</t>
        </is>
      </c>
      <c r="O77" s="25" t="inlineStr">
        <is>
          <t>Human</t>
        </is>
      </c>
      <c r="P77" s="25" t="n"/>
      <c r="Q77" s="25" t="inlineStr">
        <is>
          <t>clinical</t>
        </is>
      </c>
      <c r="R77" s="25" t="inlineStr">
        <is>
          <t>mcr-1.1</t>
        </is>
      </c>
      <c r="S77" s="25" t="n"/>
      <c r="T77" s="25" t="n"/>
      <c r="U77" s="25" t="n"/>
      <c r="V77" s="25" t="n"/>
      <c r="W77" s="25" t="n">
        <v>5</v>
      </c>
      <c r="X77" s="25" t="n">
        <v>22</v>
      </c>
      <c r="Y77" s="25" t="inlineStr">
        <is>
          <t>aac(3)-IIe aadA1 aadA2 acrR_E190KfsTer54 ant(2'')-Ia aph(3'')-Ib aph(3')-Ia aph(6)-Id blaTEM-1 catA1 cmlA1 dfrA1 dfrA24 dfrA36 estX-3 floR gyrA_D87N gyrA_S83L mcr-1.1 ompF_Y124TerfsTer0 parC_E84G parC_S80I sul1 sul2 sul2 sul3 tet(A) tet(B)</t>
        </is>
      </c>
      <c r="Z77" s="31" t="n">
        <v>1266</v>
      </c>
      <c r="AA77" s="31" t="inlineStr">
        <is>
          <t>IncHI2 / IncHI2A / IncQ1</t>
        </is>
      </c>
      <c r="AB77" s="31" t="n"/>
      <c r="AC77" s="25" t="inlineStr">
        <is>
          <t>|mcr-1.1|</t>
        </is>
      </c>
      <c r="AD77" s="19" t="n">
        <v>100</v>
      </c>
      <c r="AE77" s="19" t="n">
        <v>0.97</v>
      </c>
      <c r="AF77" s="19" t="inlineStr">
        <is>
          <t>no</t>
        </is>
      </c>
      <c r="AG77" s="19" t="inlineStr">
        <is>
          <t>Yes</t>
        </is>
      </c>
    </row>
    <row r="78" ht="15" customHeight="1" s="20">
      <c r="A78" s="25" t="inlineStr">
        <is>
          <t>PDT001725757.1</t>
        </is>
      </c>
      <c r="B78" s="25" t="inlineStr">
        <is>
          <t>SAMN34441004</t>
        </is>
      </c>
      <c r="C78" s="25" t="inlineStr">
        <is>
          <t>PRJNA860154</t>
        </is>
      </c>
      <c r="D78" s="25" t="inlineStr">
        <is>
          <t>GCA_029953225.1</t>
        </is>
      </c>
      <c r="E78" s="25" t="n"/>
      <c r="F78" s="25" t="n"/>
      <c r="G78" s="25" t="inlineStr">
        <is>
          <t>GenBank assembly (no reads)</t>
        </is>
      </c>
      <c r="H78" s="25" t="inlineStr">
        <is>
          <t>NW-MR1609</t>
        </is>
      </c>
      <c r="I78" s="25" t="inlineStr">
        <is>
          <t>Nigeria</t>
        </is>
      </c>
      <c r="J78" s="25" t="n"/>
      <c r="K78" s="25" t="inlineStr">
        <is>
          <t>2016</t>
        </is>
      </c>
      <c r="L78" s="25" t="inlineStr">
        <is>
          <t>2016</t>
        </is>
      </c>
      <c r="M78" s="25" t="inlineStr">
        <is>
          <t>Homo sapiens</t>
        </is>
      </c>
      <c r="N78" s="25" t="n"/>
      <c r="O78" s="25" t="inlineStr">
        <is>
          <t>Human</t>
        </is>
      </c>
      <c r="P78" s="25" t="n"/>
      <c r="Q78" s="25" t="inlineStr">
        <is>
          <t>clinical</t>
        </is>
      </c>
      <c r="R78" s="25" t="inlineStr">
        <is>
          <t>mcr-1.1</t>
        </is>
      </c>
      <c r="S78" s="25" t="n"/>
      <c r="T78" s="25" t="inlineStr">
        <is>
          <t>blaCTX-M-15</t>
        </is>
      </c>
      <c r="U78" s="25" t="n"/>
      <c r="V78" s="25" t="n"/>
      <c r="W78" s="25" t="n">
        <v>7</v>
      </c>
      <c r="X78" s="25" t="n">
        <v>3</v>
      </c>
      <c r="Y78" s="25" t="inlineStr">
        <is>
          <t>blaCTX-M-15 cyaA_S352T mcr-1.1 qnrS1</t>
        </is>
      </c>
      <c r="Z78" s="31" t="n">
        <v>484</v>
      </c>
      <c r="AA78" s="31" t="inlineStr">
        <is>
          <t>IncX4</t>
        </is>
      </c>
      <c r="AB78" s="31" t="n"/>
      <c r="AC78" s="25" t="inlineStr">
        <is>
          <t>|mcr-1.1|</t>
        </is>
      </c>
      <c r="AD78" s="19" t="n">
        <v>100</v>
      </c>
      <c r="AE78" s="19" t="n">
        <v>0.19</v>
      </c>
      <c r="AF78" s="19" t="inlineStr">
        <is>
          <t>no</t>
        </is>
      </c>
      <c r="AG78" s="19" t="inlineStr">
        <is>
          <t>Yes</t>
        </is>
      </c>
    </row>
    <row r="79" ht="15" customHeight="1" s="20">
      <c r="A79" s="25" t="inlineStr">
        <is>
          <t>PDT001689085.1</t>
        </is>
      </c>
      <c r="B79" s="25" t="inlineStr">
        <is>
          <t>SAMN13191328</t>
        </is>
      </c>
      <c r="C79" s="25" t="inlineStr">
        <is>
          <t>PRJNA587479</t>
        </is>
      </c>
      <c r="D79" s="25" t="inlineStr">
        <is>
          <t>GCA_029742665.1</t>
        </is>
      </c>
      <c r="E79" s="25" t="inlineStr">
        <is>
          <t>SRR10392137</t>
        </is>
      </c>
      <c r="F79" s="25" t="n"/>
      <c r="G79" s="25" t="inlineStr">
        <is>
          <t>SRA Illumina PE reads</t>
        </is>
      </c>
      <c r="H79" s="25" t="inlineStr">
        <is>
          <t>EGYMCR</t>
        </is>
      </c>
      <c r="I79" s="25" t="inlineStr">
        <is>
          <t>Egypt</t>
        </is>
      </c>
      <c r="J79" s="25" t="inlineStr">
        <is>
          <t>Luxor</t>
        </is>
      </c>
      <c r="K79" s="25" t="inlineStr">
        <is>
          <t>2017</t>
        </is>
      </c>
      <c r="L79" s="25" t="inlineStr">
        <is>
          <t>2017-10-08</t>
        </is>
      </c>
      <c r="M79" s="25" t="n"/>
      <c r="N79" s="25" t="inlineStr">
        <is>
          <t>SAUSAGE</t>
        </is>
      </c>
      <c r="O79" s="25" t="inlineStr">
        <is>
          <t>Food (non-poultry)</t>
        </is>
      </c>
      <c r="P79" s="25" t="n"/>
      <c r="Q79" s="25" t="inlineStr">
        <is>
          <t>environmental/other</t>
        </is>
      </c>
      <c r="R79" s="25" t="inlineStr">
        <is>
          <t>mcr-1.1</t>
        </is>
      </c>
      <c r="S79" s="25" t="n"/>
      <c r="T79" s="25" t="n"/>
      <c r="U79" s="25" t="n"/>
      <c r="V79" s="25" t="n"/>
      <c r="W79" s="25" t="n">
        <v>229</v>
      </c>
      <c r="X79" s="25" t="n">
        <v>13</v>
      </c>
      <c r="Y79" s="25" t="inlineStr">
        <is>
          <t>aac(3)-IIe aadA2 aph(3'')-Ib blaTEM-1 dfrA12 floR gyrA_S83L mcr-1.1 mph(A) nfsA_G126R qnrS1 sul1 sul2 sul2 tet(A)</t>
        </is>
      </c>
      <c r="Z79" s="31" t="n">
        <v>101</v>
      </c>
      <c r="AA79" s="31" t="inlineStr">
        <is>
          <t>IncI2 (MOB-Recon bin)</t>
        </is>
      </c>
      <c r="AB79" s="31" t="n"/>
      <c r="AC79" s="25" t="inlineStr">
        <is>
          <t>|mcr-1.1|</t>
        </is>
      </c>
      <c r="AD79" s="19" t="n">
        <v>100</v>
      </c>
      <c r="AE79" s="19" t="n">
        <v>0.36</v>
      </c>
      <c r="AF79" s="19" t="inlineStr">
        <is>
          <t>no</t>
        </is>
      </c>
      <c r="AG79" s="19" t="inlineStr">
        <is>
          <t>Yes</t>
        </is>
      </c>
    </row>
    <row r="80" ht="15" customHeight="1" s="20">
      <c r="A80" s="25" t="inlineStr">
        <is>
          <t>PDT001686555.1</t>
        </is>
      </c>
      <c r="B80" s="25" t="inlineStr">
        <is>
          <t>SAMD00328572</t>
        </is>
      </c>
      <c r="C80" s="25" t="inlineStr">
        <is>
          <t>PRJDB11824</t>
        </is>
      </c>
      <c r="D80" s="25" t="inlineStr">
        <is>
          <t>GCA_029678165.1</t>
        </is>
      </c>
      <c r="E80" s="25" t="inlineStr">
        <is>
          <t>DRR300284</t>
        </is>
      </c>
      <c r="F80" s="25" t="inlineStr">
        <is>
          <t>DRR300283</t>
        </is>
      </c>
      <c r="G80" s="25" t="inlineStr">
        <is>
          <t>SRA Illumina PE reads</t>
        </is>
      </c>
      <c r="H80" s="25" t="inlineStr">
        <is>
          <t>73</t>
        </is>
      </c>
      <c r="I80" s="25" t="inlineStr">
        <is>
          <t>Egypt</t>
        </is>
      </c>
      <c r="J80" s="25" t="n"/>
      <c r="K80" s="25" t="n"/>
      <c r="L80" s="25" t="n"/>
      <c r="M80" s="25" t="inlineStr">
        <is>
          <t>Homo sapiens</t>
        </is>
      </c>
      <c r="N80" s="25" t="n"/>
      <c r="O80" s="25" t="inlineStr">
        <is>
          <t>Human</t>
        </is>
      </c>
      <c r="P80" s="25" t="n"/>
      <c r="Q80" s="25" t="inlineStr">
        <is>
          <t>clinical</t>
        </is>
      </c>
      <c r="R80" s="25" t="inlineStr">
        <is>
          <t>mcr-1.1</t>
        </is>
      </c>
      <c r="S80" s="25" t="n"/>
      <c r="T80" s="25" t="n"/>
      <c r="U80" s="25" t="n"/>
      <c r="V80" s="25" t="n"/>
      <c r="W80" s="25" t="n">
        <v>184</v>
      </c>
      <c r="X80" s="25" t="n">
        <v>14</v>
      </c>
      <c r="Y80" s="25" t="inlineStr">
        <is>
          <t>aac(3)-IId aadA22 aadA5 aph(3'')-Ib aph(3')-Ia aph(6)-Id blaTEM-1 catA1 dfrA17 gyrA_D87N gyrA_S83L mcr-1.1 mph(A) parC_A56T parC_S80I sul1 sul2 tet(B)</t>
        </is>
      </c>
      <c r="Z80" s="31" t="n">
        <v>744</v>
      </c>
      <c r="AA80" s="31" t="inlineStr">
        <is>
          <t>IncX4</t>
        </is>
      </c>
      <c r="AB80" s="31" t="n"/>
      <c r="AC80" s="25" t="inlineStr">
        <is>
          <t>|mcr-1.1|</t>
        </is>
      </c>
      <c r="AD80" s="19" t="n">
        <v>100</v>
      </c>
      <c r="AE80" s="19" t="n">
        <v>0.09</v>
      </c>
      <c r="AF80" s="19" t="inlineStr">
        <is>
          <t>no</t>
        </is>
      </c>
      <c r="AG80" s="19" t="inlineStr">
        <is>
          <t>Yes</t>
        </is>
      </c>
    </row>
    <row r="81" ht="15" customHeight="1" s="20">
      <c r="A81" s="25" t="inlineStr">
        <is>
          <t>PDT001686554.1</t>
        </is>
      </c>
      <c r="B81" s="25" t="inlineStr">
        <is>
          <t>SAMD00328569</t>
        </is>
      </c>
      <c r="C81" s="25" t="inlineStr">
        <is>
          <t>PRJDB11824</t>
        </is>
      </c>
      <c r="D81" s="25" t="inlineStr">
        <is>
          <t>GCA_029680065.1</t>
        </is>
      </c>
      <c r="E81" s="25" t="inlineStr">
        <is>
          <t>DRR300282</t>
        </is>
      </c>
      <c r="F81" s="25" t="inlineStr">
        <is>
          <t>DRR300281</t>
        </is>
      </c>
      <c r="G81" s="25" t="inlineStr">
        <is>
          <t>SRA Illumina PE reads</t>
        </is>
      </c>
      <c r="H81" s="25" t="inlineStr">
        <is>
          <t>51</t>
        </is>
      </c>
      <c r="I81" s="25" t="inlineStr">
        <is>
          <t>Egypt</t>
        </is>
      </c>
      <c r="J81" s="25" t="n"/>
      <c r="K81" s="25" t="n"/>
      <c r="L81" s="25" t="n"/>
      <c r="M81" s="25" t="inlineStr">
        <is>
          <t>Homo sapiens</t>
        </is>
      </c>
      <c r="N81" s="25" t="n"/>
      <c r="O81" s="25" t="inlineStr">
        <is>
          <t>Human</t>
        </is>
      </c>
      <c r="P81" s="25" t="n"/>
      <c r="Q81" s="25" t="inlineStr">
        <is>
          <t>clinical</t>
        </is>
      </c>
      <c r="R81" s="25" t="inlineStr">
        <is>
          <t>mcr-1.1</t>
        </is>
      </c>
      <c r="S81" s="25" t="n"/>
      <c r="T81" s="25" t="inlineStr">
        <is>
          <t>blaCTX-M-14</t>
        </is>
      </c>
      <c r="U81" s="25" t="n"/>
      <c r="V81" s="25" t="n"/>
      <c r="W81" s="25" t="n">
        <v>172</v>
      </c>
      <c r="X81" s="25" t="n">
        <v>17</v>
      </c>
      <c r="Y81" s="25" t="inlineStr">
        <is>
          <t>aadA1 aadA2 aadA2 aph(3'')-Ib aph(3')-Ia aph(6)-Id blaCTX-M-14 blaTEM-1 cirA_Q65Ter cmlA1 dfrA12 estX-3 floR gyrA_D87N gyrA_S83L mcr-1.1 parC_S80I sul1 sul2 sul3 tet(A)</t>
        </is>
      </c>
      <c r="Z81" s="31" t="n">
        <v>1011</v>
      </c>
      <c r="AA81" s="31" t="inlineStr">
        <is>
          <t>Plasmid, no replicon detected (MOB-Recon)</t>
        </is>
      </c>
      <c r="AB81" s="31" t="inlineStr">
        <is>
          <t>mcr contig only 4,295 bp; bin assignment is tentative.</t>
        </is>
      </c>
      <c r="AC81" s="25" t="inlineStr">
        <is>
          <t>|mcr-1.1|</t>
        </is>
      </c>
      <c r="AD81" s="19" t="n">
        <v>100</v>
      </c>
      <c r="AE81" s="19" t="n">
        <v>0.44</v>
      </c>
      <c r="AF81" s="19" t="inlineStr">
        <is>
          <t>no</t>
        </is>
      </c>
      <c r="AG81" s="19" t="inlineStr">
        <is>
          <t>Yes</t>
        </is>
      </c>
    </row>
    <row r="82" ht="15" customHeight="1" s="20">
      <c r="A82" s="25" t="inlineStr">
        <is>
          <t>PDT001543782.1</t>
        </is>
      </c>
      <c r="B82" s="25" t="inlineStr">
        <is>
          <t>SAMEA112238986</t>
        </is>
      </c>
      <c r="C82" s="25" t="inlineStr">
        <is>
          <t>PRJEB44720</t>
        </is>
      </c>
      <c r="D82" s="25" t="inlineStr">
        <is>
          <t>GCA_027267495.1</t>
        </is>
      </c>
      <c r="E82" s="25" t="inlineStr">
        <is>
          <t>ERR10670898</t>
        </is>
      </c>
      <c r="F82" s="25" t="n"/>
      <c r="G82" s="25" t="inlineStr">
        <is>
          <t>SRA Illumina PE reads</t>
        </is>
      </c>
      <c r="H82" s="25" t="n"/>
      <c r="I82" s="25" t="inlineStr">
        <is>
          <t>Nigeria</t>
        </is>
      </c>
      <c r="J82" s="25" t="n"/>
      <c r="K82" s="25" t="inlineStr">
        <is>
          <t>2016</t>
        </is>
      </c>
      <c r="L82" s="25" t="inlineStr">
        <is>
          <t>2016</t>
        </is>
      </c>
      <c r="M82" s="25" t="inlineStr">
        <is>
          <t>Homo sapiens</t>
        </is>
      </c>
      <c r="N82" s="25" t="inlineStr">
        <is>
          <t>Rectal Swab</t>
        </is>
      </c>
      <c r="O82" s="25" t="inlineStr">
        <is>
          <t>Human</t>
        </is>
      </c>
      <c r="P82" s="25" t="n"/>
      <c r="Q82" s="25" t="inlineStr">
        <is>
          <t>clinical</t>
        </is>
      </c>
      <c r="R82" s="25" t="inlineStr">
        <is>
          <t>mcr-1.1</t>
        </is>
      </c>
      <c r="S82" s="25" t="n"/>
      <c r="T82" s="25" t="inlineStr">
        <is>
          <t>blaCTX-M-15</t>
        </is>
      </c>
      <c r="U82" s="25" t="n"/>
      <c r="V82" s="25" t="n"/>
      <c r="W82" s="25" t="n">
        <v>273</v>
      </c>
      <c r="X82" s="25" t="n">
        <v>3</v>
      </c>
      <c r="Y82" s="25" t="inlineStr">
        <is>
          <t>blaCTX-M-15 cyaA_S352T mcr-1.1 qnrS1</t>
        </is>
      </c>
      <c r="Z82" s="31" t="n">
        <v>484</v>
      </c>
      <c r="AA82" s="31" t="inlineStr">
        <is>
          <t>IncX4</t>
        </is>
      </c>
      <c r="AB82" s="31" t="n"/>
      <c r="AC82" s="25" t="inlineStr">
        <is>
          <t>|mcr-1.1|</t>
        </is>
      </c>
      <c r="AD82" s="19" t="n">
        <v>100</v>
      </c>
      <c r="AE82" s="19" t="n">
        <v>0.13</v>
      </c>
      <c r="AF82" s="19" t="inlineStr">
        <is>
          <t>no</t>
        </is>
      </c>
      <c r="AG82" s="19" t="inlineStr">
        <is>
          <t>Yes</t>
        </is>
      </c>
    </row>
    <row r="83" ht="15" customHeight="1" s="20">
      <c r="A83" s="25" t="inlineStr">
        <is>
          <t>PDT001543770.1</t>
        </is>
      </c>
      <c r="B83" s="25" t="inlineStr">
        <is>
          <t>SAMEA112238980</t>
        </is>
      </c>
      <c r="C83" s="25" t="inlineStr">
        <is>
          <t>PRJEB44720</t>
        </is>
      </c>
      <c r="D83" s="25" t="inlineStr">
        <is>
          <t>GCA_027266795.1</t>
        </is>
      </c>
      <c r="E83" s="25" t="inlineStr">
        <is>
          <t>ERR10670886</t>
        </is>
      </c>
      <c r="F83" s="25" t="n"/>
      <c r="G83" s="25" t="inlineStr">
        <is>
          <t>SRA Illumina PE reads</t>
        </is>
      </c>
      <c r="H83" s="25" t="n"/>
      <c r="I83" s="25" t="inlineStr">
        <is>
          <t>Nigeria</t>
        </is>
      </c>
      <c r="J83" s="25" t="n"/>
      <c r="K83" s="25" t="inlineStr">
        <is>
          <t>2016</t>
        </is>
      </c>
      <c r="L83" s="25" t="inlineStr">
        <is>
          <t>2016</t>
        </is>
      </c>
      <c r="M83" s="25" t="inlineStr">
        <is>
          <t>Homo sapiens</t>
        </is>
      </c>
      <c r="N83" s="25" t="inlineStr">
        <is>
          <t>Rectal Swab</t>
        </is>
      </c>
      <c r="O83" s="25" t="inlineStr">
        <is>
          <t>Human</t>
        </is>
      </c>
      <c r="P83" s="25" t="n"/>
      <c r="Q83" s="25" t="inlineStr">
        <is>
          <t>clinical</t>
        </is>
      </c>
      <c r="R83" s="25" t="inlineStr">
        <is>
          <t>mcr-1.1</t>
        </is>
      </c>
      <c r="S83" s="25" t="n"/>
      <c r="T83" s="25" t="n"/>
      <c r="U83" s="25" t="n"/>
      <c r="V83" s="25" t="n"/>
      <c r="W83" s="25" t="n">
        <v>485</v>
      </c>
      <c r="X83" s="25" t="n">
        <v>25</v>
      </c>
      <c r="Y83" s="25" t="inlineStr">
        <is>
          <t>aac(3)-IIe aadA1 aadA1 aadA2 acrR_E190KfsTer54 ant(2'')-Ia aph(3'')-Ib aph(3')-Ia aph(6)-Id blaOXA blaTEM-1 catA1 cmlA1 dfrA1 dfrA24 dfrA36 estX-3 floR gyrA_D87N gyrA_S83L mcr-1.1 ompF_Y124TerfsTer0 parC_E84G parC_S80I sul1 sul1 sul2 sul2 sul3 tet(A) tet(B)</t>
        </is>
      </c>
      <c r="Z83" s="31" t="inlineStr">
        <is>
          <t>Untypeable</t>
        </is>
      </c>
      <c r="AA83" s="31" t="inlineStr">
        <is>
          <t>IncHI2A/IncQ1 (MOB-Recon bin)</t>
        </is>
      </c>
      <c r="AB83" s="31" t="inlineStr">
        <is>
          <t>Novel or partial MLST allele (adk(168) fumC(~184) gyrB(53) icd(140) mdh(24) purA(85) recA(42)).</t>
        </is>
      </c>
      <c r="AC83" s="25" t="inlineStr">
        <is>
          <t>|mcr-1.1|</t>
        </is>
      </c>
      <c r="AD83" s="19" t="n">
        <v>100</v>
      </c>
      <c r="AE83" s="19" t="n">
        <v>0.91</v>
      </c>
      <c r="AF83" s="19" t="inlineStr">
        <is>
          <t>no</t>
        </is>
      </c>
      <c r="AG83" s="19" t="inlineStr">
        <is>
          <t>Yes</t>
        </is>
      </c>
    </row>
    <row r="84" ht="15" customHeight="1" s="20">
      <c r="A84" s="25" t="inlineStr">
        <is>
          <t>PDT001146156.1</t>
        </is>
      </c>
      <c r="B84" s="25" t="inlineStr">
        <is>
          <t>SAMN16293355</t>
        </is>
      </c>
      <c r="C84" s="25" t="inlineStr">
        <is>
          <t>PRJNA666443</t>
        </is>
      </c>
      <c r="D84" s="25" t="inlineStr">
        <is>
          <t>GCA_020281985.1</t>
        </is>
      </c>
      <c r="E84" s="25" t="n"/>
      <c r="F84" s="25" t="n"/>
      <c r="G84" s="25" t="inlineStr">
        <is>
          <t>GenBank assembly (no reads)</t>
        </is>
      </c>
      <c r="H84" s="25" t="inlineStr">
        <is>
          <t>82CH</t>
        </is>
      </c>
      <c r="I84" s="25" t="inlineStr">
        <is>
          <t>Egypt</t>
        </is>
      </c>
      <c r="J84" s="25" t="n"/>
      <c r="K84" s="25" t="inlineStr">
        <is>
          <t>2017</t>
        </is>
      </c>
      <c r="L84" s="25" t="inlineStr">
        <is>
          <t>2017</t>
        </is>
      </c>
      <c r="M84" s="25" t="inlineStr">
        <is>
          <t>chicken</t>
        </is>
      </c>
      <c r="N84" s="25" t="inlineStr">
        <is>
          <t>carcass</t>
        </is>
      </c>
      <c r="O84" s="25" t="inlineStr">
        <is>
          <t>Poultry</t>
        </is>
      </c>
      <c r="P84" s="25" t="inlineStr">
        <is>
          <t>Poultry meat/carcass</t>
        </is>
      </c>
      <c r="Q84" s="25" t="inlineStr">
        <is>
          <t>environmental/other</t>
        </is>
      </c>
      <c r="R84" s="25" t="inlineStr">
        <is>
          <t>mcr-1.1</t>
        </is>
      </c>
      <c r="S84" s="25" t="n"/>
      <c r="T84" s="25" t="inlineStr">
        <is>
          <t>blaCTX-M-104</t>
        </is>
      </c>
      <c r="U84" s="25" t="n"/>
      <c r="V84" s="25" t="n"/>
      <c r="W84" s="25" t="n">
        <v>244</v>
      </c>
      <c r="X84" s="25" t="n">
        <v>18</v>
      </c>
      <c r="Y84" s="25" t="inlineStr">
        <is>
          <t>aac(3)-IIe aadA1 aph(3'')-Ib aph(6)-Id blaCTX-M-104 blaTEM-1 cirA_D446EfsTer18 dfrA1 estX floR fosA4 gyrA_D87N gyrA_S83L lnu(F) mcr-1.1 mph(A) mph(B) parC_S80I rdmCL sul1 sul2 tet(A)</t>
        </is>
      </c>
      <c r="Z84" s="31" t="n">
        <v>224</v>
      </c>
      <c r="AA84" s="31" t="inlineStr">
        <is>
          <t>IncHI2A/IncI2/IncQ1 (MOB-Recon bin, mixed replicons)</t>
        </is>
      </c>
      <c r="AB84" s="31" t="inlineStr">
        <is>
          <t>MOB-Recon bin holds more than one plasmid family; mcr plasmid type not resolved with short reads.</t>
        </is>
      </c>
      <c r="AC84" s="25" t="inlineStr">
        <is>
          <t>|mcr-1.1|</t>
        </is>
      </c>
      <c r="AD84" s="19" t="n">
        <v>100</v>
      </c>
      <c r="AE84" s="19" t="n">
        <v>0.23</v>
      </c>
      <c r="AF84" s="19" t="inlineStr">
        <is>
          <t>no</t>
        </is>
      </c>
      <c r="AG84" s="19" t="inlineStr">
        <is>
          <t>Yes</t>
        </is>
      </c>
    </row>
    <row r="85" ht="15" customHeight="1" s="20">
      <c r="A85" s="25" t="inlineStr">
        <is>
          <t>PDT001039456.1</t>
        </is>
      </c>
      <c r="B85" s="25" t="inlineStr">
        <is>
          <t>SAMEA8550478</t>
        </is>
      </c>
      <c r="C85" s="25" t="inlineStr">
        <is>
          <t>PRJEB42795</t>
        </is>
      </c>
      <c r="D85" s="25" t="inlineStr">
        <is>
          <t>GCA_907164235.1</t>
        </is>
      </c>
      <c r="E85" s="25" t="inlineStr">
        <is>
          <t>ERR5696778</t>
        </is>
      </c>
      <c r="F85" s="25" t="n"/>
      <c r="G85" s="25" t="inlineStr">
        <is>
          <t>SRA Illumina PE reads</t>
        </is>
      </c>
      <c r="H85" s="25" t="inlineStr">
        <is>
          <t>PBIO396</t>
        </is>
      </c>
      <c r="I85" s="25" t="inlineStr">
        <is>
          <t>Rwanda</t>
        </is>
      </c>
      <c r="J85" s="25" t="n"/>
      <c r="K85" s="25" t="inlineStr">
        <is>
          <t>2014</t>
        </is>
      </c>
      <c r="L85" s="25" t="inlineStr">
        <is>
          <t>2014</t>
        </is>
      </c>
      <c r="M85" s="25" t="n"/>
      <c r="N85" s="25" t="inlineStr">
        <is>
          <t>rectal swab</t>
        </is>
      </c>
      <c r="O85" s="25" t="inlineStr">
        <is>
          <t>Unspecified</t>
        </is>
      </c>
      <c r="P85" s="25" t="n"/>
      <c r="Q85" s="25" t="n"/>
      <c r="R85" s="25" t="inlineStr">
        <is>
          <t>mcr-9.1</t>
        </is>
      </c>
      <c r="S85" s="25" t="n"/>
      <c r="T85" s="25" t="n"/>
      <c r="U85" s="25" t="n"/>
      <c r="V85" s="25" t="n"/>
      <c r="W85" s="25" t="n">
        <v>175</v>
      </c>
      <c r="X85" s="25" t="n">
        <v>20</v>
      </c>
      <c r="Y85" s="25" t="inlineStr">
        <is>
          <t>aac(3)-IIg aac(6')-IIc aac(6')-Ib3 aadA1 aadA2 aph(3'')-Ib aph(6)-Id arr blaOXA-1 blaSHV-12 blaTEM-1 catA1 catA2 dfrA19 ere(A) mcr-9.1 sul1 sul2 tet(B) tet(D)</t>
        </is>
      </c>
      <c r="Z85" s="31" t="n">
        <v>181</v>
      </c>
      <c r="AA85" s="31" t="inlineStr">
        <is>
          <t>IncHI2A (MOB-Recon bin)</t>
        </is>
      </c>
      <c r="AB85" s="31" t="inlineStr">
        <is>
          <t>mcr contig only 2,627 bp; bin assignment is tentative.</t>
        </is>
      </c>
      <c r="AC85" s="25" t="inlineStr">
        <is>
          <t>|mcr-9.1|</t>
        </is>
      </c>
      <c r="AD85" s="19" t="n">
        <v>100</v>
      </c>
      <c r="AE85" s="19" t="n">
        <v>0.06</v>
      </c>
      <c r="AF85" s="19" t="inlineStr">
        <is>
          <t>no</t>
        </is>
      </c>
      <c r="AG85" s="19" t="inlineStr">
        <is>
          <t>Yes</t>
        </is>
      </c>
    </row>
    <row r="86" ht="15" customHeight="1" s="20">
      <c r="A86" s="25" t="inlineStr">
        <is>
          <t>PDT001039426.1</t>
        </is>
      </c>
      <c r="B86" s="25" t="inlineStr">
        <is>
          <t>SAMEA8550450</t>
        </is>
      </c>
      <c r="C86" s="25" t="inlineStr">
        <is>
          <t>PRJEB42795</t>
        </is>
      </c>
      <c r="D86" s="25" t="inlineStr">
        <is>
          <t>GCA_907163985.1</t>
        </is>
      </c>
      <c r="E86" s="25" t="inlineStr">
        <is>
          <t>ERR5696750</t>
        </is>
      </c>
      <c r="F86" s="25" t="n"/>
      <c r="G86" s="25" t="inlineStr">
        <is>
          <t>SRA Illumina PE reads</t>
        </is>
      </c>
      <c r="H86" s="25" t="inlineStr">
        <is>
          <t>PBIO353</t>
        </is>
      </c>
      <c r="I86" s="25" t="inlineStr">
        <is>
          <t>Rwanda</t>
        </is>
      </c>
      <c r="J86" s="25" t="n"/>
      <c r="K86" s="25" t="inlineStr">
        <is>
          <t>2014</t>
        </is>
      </c>
      <c r="L86" s="25" t="inlineStr">
        <is>
          <t>2014</t>
        </is>
      </c>
      <c r="M86" s="25" t="n"/>
      <c r="N86" s="25" t="inlineStr">
        <is>
          <t>rectal swab</t>
        </is>
      </c>
      <c r="O86" s="25" t="inlineStr">
        <is>
          <t>Unspecified</t>
        </is>
      </c>
      <c r="P86" s="25" t="n"/>
      <c r="Q86" s="25" t="n"/>
      <c r="R86" s="25" t="inlineStr">
        <is>
          <t>mcr-9.1</t>
        </is>
      </c>
      <c r="S86" s="25" t="n"/>
      <c r="T86" s="25" t="n"/>
      <c r="U86" s="25" t="n"/>
      <c r="V86" s="25" t="n"/>
      <c r="W86" s="25" t="n">
        <v>378</v>
      </c>
      <c r="X86" s="25" t="n">
        <v>11</v>
      </c>
      <c r="Y86" s="25" t="inlineStr">
        <is>
          <t>aac(3)-IIg aac(6')-IIc arr blaSHV-12 blaTEM-1 catA2 dfrA15 ere(A) mcr-9.1 qnrB2 sul1</t>
        </is>
      </c>
      <c r="Z86" s="31" t="n">
        <v>540</v>
      </c>
      <c r="AA86" s="31" t="inlineStr">
        <is>
          <t>IncHI2A (MOB-Recon bin)</t>
        </is>
      </c>
      <c r="AB86" s="31" t="inlineStr">
        <is>
          <t>mcr contig only 2,627 bp; bin assignment is tentative.</t>
        </is>
      </c>
      <c r="AC86" s="25" t="inlineStr">
        <is>
          <t>|mcr-9.1|</t>
        </is>
      </c>
      <c r="AD86" s="19" t="n">
        <v>100</v>
      </c>
      <c r="AE86" s="19" t="n">
        <v>0.39</v>
      </c>
      <c r="AF86" s="19" t="inlineStr">
        <is>
          <t>no</t>
        </is>
      </c>
      <c r="AG86" s="19" t="inlineStr">
        <is>
          <t>Yes</t>
        </is>
      </c>
    </row>
    <row r="87" ht="15" customHeight="1" s="20">
      <c r="A87" s="25" t="inlineStr">
        <is>
          <t>PDT001018769.1</t>
        </is>
      </c>
      <c r="B87" s="25" t="inlineStr">
        <is>
          <t>SAMN17183229</t>
        </is>
      </c>
      <c r="C87" s="25" t="inlineStr">
        <is>
          <t>PRJNA688626</t>
        </is>
      </c>
      <c r="D87" s="25" t="inlineStr">
        <is>
          <t>GCA_018263975.1</t>
        </is>
      </c>
      <c r="E87" s="25" t="inlineStr">
        <is>
          <t>SRR13376017</t>
        </is>
      </c>
      <c r="F87" s="25" t="n"/>
      <c r="G87" s="25" t="inlineStr">
        <is>
          <t>SRA Illumina PE reads</t>
        </is>
      </c>
      <c r="H87" s="25" t="inlineStr">
        <is>
          <t>ALPHECOLI2U</t>
        </is>
      </c>
      <c r="I87" s="25" t="inlineStr">
        <is>
          <t>Egypt</t>
        </is>
      </c>
      <c r="J87" s="25" t="inlineStr">
        <is>
          <t>Alexandria</t>
        </is>
      </c>
      <c r="K87" s="25" t="inlineStr">
        <is>
          <t>2019</t>
        </is>
      </c>
      <c r="L87" s="25" t="inlineStr">
        <is>
          <t>2019-12-21</t>
        </is>
      </c>
      <c r="M87" s="25" t="inlineStr">
        <is>
          <t>Homo sapiens</t>
        </is>
      </c>
      <c r="N87" s="25" t="inlineStr">
        <is>
          <t>urinary catheter</t>
        </is>
      </c>
      <c r="O87" s="25" t="inlineStr">
        <is>
          <t>Human</t>
        </is>
      </c>
      <c r="P87" s="25" t="n"/>
      <c r="Q87" s="25" t="inlineStr">
        <is>
          <t>clinical</t>
        </is>
      </c>
      <c r="R87" s="25" t="inlineStr">
        <is>
          <t>mcr-1.1</t>
        </is>
      </c>
      <c r="S87" s="25" t="n"/>
      <c r="T87" s="25" t="n"/>
      <c r="U87" s="25" t="n"/>
      <c r="V87" s="25" t="n"/>
      <c r="W87" s="25" t="n">
        <v>357</v>
      </c>
      <c r="X87" s="25" t="n">
        <v>20</v>
      </c>
      <c r="Y87" s="25" t="inlineStr">
        <is>
          <t>aac(3)-IIe aadA1 aadA2 aph(3'')-Ib aph(3')-Ia aph(6)-Id blaSHV-12 blaTEM-1 catA1 cirA_Q65Ter cmlA1 cyaA_S352T dfrA1 estX-3 floR gyrA_D87N gyrA_S83L lnu(F) mcr-1.1 parC_S80R qnrS1 sat2 sul2 sul3 tet(A)</t>
        </is>
      </c>
      <c r="Z87" s="31" t="n">
        <v>117</v>
      </c>
      <c r="AA87" s="31" t="inlineStr">
        <is>
          <t>IncHI2A/IncQ1 (MOB-Recon bin)</t>
        </is>
      </c>
      <c r="AB87" s="31" t="n"/>
      <c r="AC87" s="25" t="inlineStr">
        <is>
          <t>|mcr-1.1|</t>
        </is>
      </c>
      <c r="AD87" s="19" t="n">
        <v>100</v>
      </c>
      <c r="AE87" s="19" t="n">
        <v>0.3</v>
      </c>
      <c r="AF87" s="19" t="inlineStr">
        <is>
          <t>yes</t>
        </is>
      </c>
      <c r="AG87" s="19" t="inlineStr">
        <is>
          <t>Yes</t>
        </is>
      </c>
    </row>
    <row r="88" ht="15" customHeight="1" s="20">
      <c r="A88" s="25" t="inlineStr">
        <is>
          <t>PDT000946736.1</t>
        </is>
      </c>
      <c r="B88" s="25" t="inlineStr">
        <is>
          <t>SAMEA7177508</t>
        </is>
      </c>
      <c r="C88" s="25" t="inlineStr">
        <is>
          <t>PRJEB39739</t>
        </is>
      </c>
      <c r="D88" s="25" t="n"/>
      <c r="E88" s="25" t="inlineStr">
        <is>
          <t>ERR4452414</t>
        </is>
      </c>
      <c r="F88" s="25" t="n"/>
      <c r="G88" s="25" t="inlineStr">
        <is>
          <t>SRA Illumina PE reads</t>
        </is>
      </c>
      <c r="H88" s="25" t="inlineStr">
        <is>
          <t>Ped3</t>
        </is>
      </c>
      <c r="I88" s="25" t="inlineStr">
        <is>
          <t>Ethiopia</t>
        </is>
      </c>
      <c r="J88" s="25" t="inlineStr">
        <is>
          <t>Oromiya, Jimma</t>
        </is>
      </c>
      <c r="K88" s="25" t="inlineStr">
        <is>
          <t>2016</t>
        </is>
      </c>
      <c r="L88" s="25" t="inlineStr">
        <is>
          <t>2016</t>
        </is>
      </c>
      <c r="M88" s="25" t="n"/>
      <c r="N88" s="25" t="n"/>
      <c r="O88" s="25" t="inlineStr">
        <is>
          <t>Unspecified</t>
        </is>
      </c>
      <c r="P88" s="25" t="n"/>
      <c r="Q88" s="25" t="n"/>
      <c r="R88" s="25" t="inlineStr">
        <is>
          <t>mcr-9.1</t>
        </is>
      </c>
      <c r="S88" s="25" t="n"/>
      <c r="T88" s="25" t="inlineStr">
        <is>
          <t>blaCTX-M-15</t>
        </is>
      </c>
      <c r="U88" s="25" t="n"/>
      <c r="V88" s="25" t="n"/>
      <c r="W88" s="25" t="n">
        <v>234</v>
      </c>
      <c r="X88" s="25" t="n">
        <v>26</v>
      </c>
      <c r="Y88" s="25" t="inlineStr">
        <is>
          <t>aac(3)-IId aac(3)-IIg aac(6')-IIc aac(6')-Ib-cr5 aadA5 aph(3'')-Ib aph(3'')-Ib aph(3')-Ia aph(6)-Id arr blaCMY-2 blaCTX-M-15 blaOXA-1 blaSHV-12 blaTEM-1 catA2 catB3 catB3 dfrA17 ere(A) ftsI_N337NYRIN gyrA_D87N gyrA_S83L mcr-9.1 mph(A) ompC_R195L parC_S80I parE_S458A sul1 sul2 sul2 tet(B)</t>
        </is>
      </c>
      <c r="Z88" s="31" t="n">
        <v>410</v>
      </c>
      <c r="AA88" s="31" t="inlineStr">
        <is>
          <t>IncHI2A (MOB-Recon bin)</t>
        </is>
      </c>
      <c r="AB88" s="31" t="inlineStr">
        <is>
          <t>mcr contig only 2,526 bp; bin assignment is tentative.</t>
        </is>
      </c>
      <c r="AC88" s="25" t="inlineStr">
        <is>
          <t>|mcr-9.1|</t>
        </is>
      </c>
      <c r="AD88" s="19" t="n">
        <v>100</v>
      </c>
      <c r="AE88" s="19" t="n">
        <v>0.07000000000000001</v>
      </c>
      <c r="AF88" s="19" t="inlineStr">
        <is>
          <t>no</t>
        </is>
      </c>
      <c r="AG88" s="19" t="inlineStr">
        <is>
          <t>Yes</t>
        </is>
      </c>
    </row>
    <row r="89" ht="15" customHeight="1" s="20">
      <c r="A89" s="25" t="inlineStr">
        <is>
          <t>PDT000864605.1</t>
        </is>
      </c>
      <c r="B89" s="25" t="inlineStr">
        <is>
          <t>SAMN16064910</t>
        </is>
      </c>
      <c r="C89" s="25" t="inlineStr">
        <is>
          <t>PRJNA661596</t>
        </is>
      </c>
      <c r="D89" s="25" t="inlineStr">
        <is>
          <t>GCA_014900955.1</t>
        </is>
      </c>
      <c r="E89" s="25" t="n"/>
      <c r="F89" s="25" t="inlineStr">
        <is>
          <t>SRR13675951</t>
        </is>
      </c>
      <c r="G89" s="25" t="inlineStr">
        <is>
          <t>GenBank assembly + long reads</t>
        </is>
      </c>
      <c r="H89" s="25" t="inlineStr">
        <is>
          <t>A-1-10-1</t>
        </is>
      </c>
      <c r="I89" s="25" t="inlineStr">
        <is>
          <t>Egypt</t>
        </is>
      </c>
      <c r="J89" s="25" t="n"/>
      <c r="K89" s="25" t="inlineStr">
        <is>
          <t>2019</t>
        </is>
      </c>
      <c r="L89" s="25" t="inlineStr">
        <is>
          <t>2019</t>
        </is>
      </c>
      <c r="M89" s="25" t="inlineStr">
        <is>
          <t>chicken</t>
        </is>
      </c>
      <c r="N89" s="25" t="inlineStr">
        <is>
          <t>feces</t>
        </is>
      </c>
      <c r="O89" s="25" t="inlineStr">
        <is>
          <t>Poultry</t>
        </is>
      </c>
      <c r="P89" s="25" t="inlineStr">
        <is>
          <t>Live bird (faeces/cloaca/organ)</t>
        </is>
      </c>
      <c r="Q89" s="25" t="inlineStr">
        <is>
          <t>environmental/other</t>
        </is>
      </c>
      <c r="R89" s="25" t="inlineStr">
        <is>
          <t>mcr-1.1</t>
        </is>
      </c>
      <c r="S89" s="25" t="n"/>
      <c r="T89" s="25" t="inlineStr">
        <is>
          <t>blaCTX-M-15</t>
        </is>
      </c>
      <c r="U89" s="25" t="n"/>
      <c r="V89" s="25" t="n"/>
      <c r="W89" s="25" t="n">
        <v>264</v>
      </c>
      <c r="X89" s="25" t="n">
        <v>24</v>
      </c>
      <c r="Y89" s="25" t="inlineStr">
        <is>
          <t>aac(3)-IIe aadA1 aadA2 aph(3'')-Ib aph(3')-Ia aph(6)-Id arr-2 blaCTX-M-15 blaTEM-1 cmlA1 dfrA14 dfrA1 dfrA7 ere(A) erm(42) erm(B) estX-3 floR gyrA_D87N gyrA_S83L mcr-1.1 mph(A) parC_S80I sul1 sul3 tet(A) tet(X5)</t>
        </is>
      </c>
      <c r="Z89" s="31" t="n">
        <v>10</v>
      </c>
      <c r="AA89" s="31" t="inlineStr">
        <is>
          <t>IncHI2A (MOB-Recon bin)</t>
        </is>
      </c>
      <c r="AB89" s="31" t="n"/>
      <c r="AC89" s="25" t="inlineStr">
        <is>
          <t>|mcr-1.1|</t>
        </is>
      </c>
      <c r="AD89" s="19" t="n">
        <v>100</v>
      </c>
      <c r="AE89" s="19" t="n">
        <v>0.1</v>
      </c>
      <c r="AF89" s="19" t="inlineStr">
        <is>
          <t>yes</t>
        </is>
      </c>
      <c r="AG89" s="19" t="inlineStr">
        <is>
          <t>Yes</t>
        </is>
      </c>
    </row>
    <row r="90" ht="15" customHeight="1" s="20">
      <c r="A90" s="25" t="inlineStr">
        <is>
          <t>PDT000864604.1</t>
        </is>
      </c>
      <c r="B90" s="25" t="inlineStr">
        <is>
          <t>SAMN16064908</t>
        </is>
      </c>
      <c r="C90" s="25" t="inlineStr">
        <is>
          <t>PRJNA661596</t>
        </is>
      </c>
      <c r="D90" s="25" t="inlineStr">
        <is>
          <t>GCA_014900945.1</t>
        </is>
      </c>
      <c r="E90" s="25" t="n"/>
      <c r="F90" s="25" t="inlineStr">
        <is>
          <t>SRR13675950</t>
        </is>
      </c>
      <c r="G90" s="25" t="inlineStr">
        <is>
          <t>GenBank assembly + long reads</t>
        </is>
      </c>
      <c r="H90" s="25" t="inlineStr">
        <is>
          <t>A-1-4-1</t>
        </is>
      </c>
      <c r="I90" s="25" t="inlineStr">
        <is>
          <t>Egypt</t>
        </is>
      </c>
      <c r="J90" s="25" t="n"/>
      <c r="K90" s="25" t="inlineStr">
        <is>
          <t>2019</t>
        </is>
      </c>
      <c r="L90" s="25" t="inlineStr">
        <is>
          <t>2019</t>
        </is>
      </c>
      <c r="M90" s="25" t="inlineStr">
        <is>
          <t>chicken</t>
        </is>
      </c>
      <c r="N90" s="25" t="inlineStr">
        <is>
          <t>feces</t>
        </is>
      </c>
      <c r="O90" s="25" t="inlineStr">
        <is>
          <t>Poultry</t>
        </is>
      </c>
      <c r="P90" s="25" t="inlineStr">
        <is>
          <t>Live bird (faeces/cloaca/organ)</t>
        </is>
      </c>
      <c r="Q90" s="25" t="inlineStr">
        <is>
          <t>environmental/other</t>
        </is>
      </c>
      <c r="R90" s="25" t="inlineStr">
        <is>
          <t>mcr-1.1</t>
        </is>
      </c>
      <c r="S90" s="25" t="n"/>
      <c r="T90" s="25" t="inlineStr">
        <is>
          <t>blaCTX-M-15</t>
        </is>
      </c>
      <c r="U90" s="25" t="n"/>
      <c r="V90" s="25" t="n"/>
      <c r="W90" s="25" t="n">
        <v>132</v>
      </c>
      <c r="X90" s="25" t="n">
        <v>22</v>
      </c>
      <c r="Y90" s="25" t="inlineStr">
        <is>
          <t>aac(3)-IIe aadA1 aadA2 aph(3'')-Ib aph(3')-Ia aph(6)-Id arr-2 blaCTX-M-15 blaTEM-1 catA1 cmlA1 dfrA12 dfrA7 ere(A) estX-3 floR fosA4 gyrA_D87N gyrA_S83L mcr-1.1 mph(A) parC_S80I sul3 tet(A) tet(X5)</t>
        </is>
      </c>
      <c r="Z90" s="31" t="n">
        <v>155</v>
      </c>
      <c r="AA90" s="31" t="inlineStr">
        <is>
          <t>IncHI2 / IncHI2A</t>
        </is>
      </c>
      <c r="AB90" s="31" t="n"/>
      <c r="AC90" s="25" t="inlineStr">
        <is>
          <t>|mcr-1.1|</t>
        </is>
      </c>
      <c r="AD90" s="19" t="n">
        <v>100</v>
      </c>
      <c r="AE90" s="19" t="n">
        <v>0.13</v>
      </c>
      <c r="AF90" s="19" t="inlineStr">
        <is>
          <t>yes</t>
        </is>
      </c>
      <c r="AG90" s="19" t="inlineStr">
        <is>
          <t>Yes</t>
        </is>
      </c>
    </row>
    <row r="91" ht="15" customHeight="1" s="20">
      <c r="A91" s="25" t="inlineStr">
        <is>
          <t>PDT000864603.1</t>
        </is>
      </c>
      <c r="B91" s="25" t="inlineStr">
        <is>
          <t>SAMN16064909</t>
        </is>
      </c>
      <c r="C91" s="25" t="inlineStr">
        <is>
          <t>PRJNA661596</t>
        </is>
      </c>
      <c r="D91" s="25" t="inlineStr">
        <is>
          <t>GCA_014900915.1</t>
        </is>
      </c>
      <c r="E91" s="25" t="n"/>
      <c r="F91" s="25" t="inlineStr">
        <is>
          <t>SRR13675949</t>
        </is>
      </c>
      <c r="G91" s="25" t="inlineStr">
        <is>
          <t>GenBank assembly + long reads</t>
        </is>
      </c>
      <c r="H91" s="25" t="inlineStr">
        <is>
          <t>A-1-8-1</t>
        </is>
      </c>
      <c r="I91" s="25" t="inlineStr">
        <is>
          <t>Egypt</t>
        </is>
      </c>
      <c r="J91" s="25" t="n"/>
      <c r="K91" s="25" t="inlineStr">
        <is>
          <t>2019</t>
        </is>
      </c>
      <c r="L91" s="25" t="inlineStr">
        <is>
          <t>2019</t>
        </is>
      </c>
      <c r="M91" s="25" t="inlineStr">
        <is>
          <t>chicken</t>
        </is>
      </c>
      <c r="N91" s="25" t="inlineStr">
        <is>
          <t>feces</t>
        </is>
      </c>
      <c r="O91" s="25" t="inlineStr">
        <is>
          <t>Poultry</t>
        </is>
      </c>
      <c r="P91" s="25" t="inlineStr">
        <is>
          <t>Live bird (faeces/cloaca/organ)</t>
        </is>
      </c>
      <c r="Q91" s="25" t="inlineStr">
        <is>
          <t>environmental/other</t>
        </is>
      </c>
      <c r="R91" s="25" t="inlineStr">
        <is>
          <t>mcr-1.1</t>
        </is>
      </c>
      <c r="S91" s="25" t="n"/>
      <c r="T91" s="25" t="n"/>
      <c r="U91" s="25" t="n"/>
      <c r="V91" s="25" t="n"/>
      <c r="W91" s="25" t="n">
        <v>122</v>
      </c>
      <c r="X91" s="25" t="n">
        <v>20</v>
      </c>
      <c r="Y91" s="25" t="inlineStr">
        <is>
          <t>aac(3)-IIe aadA1 aadA2 aph(3'')-Ib aph(3')-Ia aph(6)-Id blaTEM-1 catA1 cmlA1 dfrA12 dfrA7 estX-3 floR fosA4 gyrA_D87N gyrA_S83L mcr-1.1 mph(A) parC_S80I sul1 sul3 tet(A) tet(X5)</t>
        </is>
      </c>
      <c r="Z91" s="31" t="n">
        <v>155</v>
      </c>
      <c r="AA91" s="31" t="inlineStr">
        <is>
          <t>IncHI2 / IncHI2A</t>
        </is>
      </c>
      <c r="AB91" s="31" t="n"/>
      <c r="AC91" s="25" t="inlineStr">
        <is>
          <t>|mcr-1.1|</t>
        </is>
      </c>
      <c r="AD91" s="19" t="n">
        <v>100</v>
      </c>
      <c r="AE91" s="19" t="n">
        <v>0.13</v>
      </c>
      <c r="AF91" s="19" t="inlineStr">
        <is>
          <t>yes</t>
        </is>
      </c>
      <c r="AG91" s="19" t="inlineStr">
        <is>
          <t>Yes</t>
        </is>
      </c>
    </row>
    <row r="92" ht="15" customHeight="1" s="20">
      <c r="A92" s="25" t="inlineStr">
        <is>
          <t>PDT000864602.1</t>
        </is>
      </c>
      <c r="B92" s="25" t="inlineStr">
        <is>
          <t>SAMN16064911</t>
        </is>
      </c>
      <c r="C92" s="25" t="inlineStr">
        <is>
          <t>PRJNA661596</t>
        </is>
      </c>
      <c r="D92" s="25" t="inlineStr">
        <is>
          <t>GCA_014900925.1</t>
        </is>
      </c>
      <c r="E92" s="25" t="n"/>
      <c r="F92" s="25" t="inlineStr">
        <is>
          <t>SRR13675948</t>
        </is>
      </c>
      <c r="G92" s="25" t="inlineStr">
        <is>
          <t>GenBank assembly + long reads</t>
        </is>
      </c>
      <c r="H92" s="25" t="inlineStr">
        <is>
          <t>A-1-11-3</t>
        </is>
      </c>
      <c r="I92" s="25" t="inlineStr">
        <is>
          <t>Egypt</t>
        </is>
      </c>
      <c r="J92" s="25" t="n"/>
      <c r="K92" s="25" t="inlineStr">
        <is>
          <t>2019</t>
        </is>
      </c>
      <c r="L92" s="25" t="inlineStr">
        <is>
          <t>2019</t>
        </is>
      </c>
      <c r="M92" s="25" t="inlineStr">
        <is>
          <t>chicken</t>
        </is>
      </c>
      <c r="N92" s="25" t="inlineStr">
        <is>
          <t>feces</t>
        </is>
      </c>
      <c r="O92" s="25" t="inlineStr">
        <is>
          <t>Poultry</t>
        </is>
      </c>
      <c r="P92" s="25" t="inlineStr">
        <is>
          <t>Live bird (faeces/cloaca/organ)</t>
        </is>
      </c>
      <c r="Q92" s="25" t="inlineStr">
        <is>
          <t>environmental/other</t>
        </is>
      </c>
      <c r="R92" s="25" t="inlineStr">
        <is>
          <t>mcr-1.1</t>
        </is>
      </c>
      <c r="S92" s="25" t="n"/>
      <c r="T92" s="25" t="inlineStr">
        <is>
          <t>blaCTX-M-15</t>
        </is>
      </c>
      <c r="U92" s="25" t="n"/>
      <c r="V92" s="25" t="n"/>
      <c r="W92" s="25" t="n">
        <v>261</v>
      </c>
      <c r="X92" s="25" t="n">
        <v>23</v>
      </c>
      <c r="Y92" s="25" t="inlineStr">
        <is>
          <t>aac(3)-IIe aadA2 aph(3'')-Ib aph(3')-Ia aph(6)-Id arr blaCTX-M-15 blaTEM-1 cmlA1 dfrA14 dfrA1 dfrA7 ere(A) erm(42) erm(B) estX-3 floR gyrA_D87N gyrA_S83L mcr-1.1 mph(A) parC_S80I sul1 sul3 tet(A) tet(X5)</t>
        </is>
      </c>
      <c r="Z92" s="31" t="n">
        <v>10</v>
      </c>
      <c r="AA92" s="31" t="inlineStr">
        <is>
          <t>IncHI2A (MOB-Recon bin)</t>
        </is>
      </c>
      <c r="AB92" s="31" t="n"/>
      <c r="AC92" s="25" t="inlineStr">
        <is>
          <t>|mcr-1.1|</t>
        </is>
      </c>
      <c r="AD92" s="19" t="n">
        <v>100</v>
      </c>
      <c r="AE92" s="19" t="n">
        <v>0.07000000000000001</v>
      </c>
      <c r="AF92" s="19" t="inlineStr">
        <is>
          <t>yes</t>
        </is>
      </c>
      <c r="AG92" s="19" t="inlineStr">
        <is>
          <t>Yes</t>
        </is>
      </c>
    </row>
    <row r="93" ht="15" customHeight="1" s="20">
      <c r="A93" s="25" t="inlineStr">
        <is>
          <t>PDT000864601.1</t>
        </is>
      </c>
      <c r="B93" s="25" t="inlineStr">
        <is>
          <t>SAMN16064912</t>
        </is>
      </c>
      <c r="C93" s="25" t="inlineStr">
        <is>
          <t>PRJNA661596</t>
        </is>
      </c>
      <c r="D93" s="25" t="inlineStr">
        <is>
          <t>GCA_014900935.1</t>
        </is>
      </c>
      <c r="E93" s="25" t="n"/>
      <c r="F93" s="25" t="inlineStr">
        <is>
          <t>SRR13675947</t>
        </is>
      </c>
      <c r="G93" s="25" t="inlineStr">
        <is>
          <t>GenBank assembly + long reads</t>
        </is>
      </c>
      <c r="H93" s="25" t="inlineStr">
        <is>
          <t>A-1-22-2</t>
        </is>
      </c>
      <c r="I93" s="25" t="inlineStr">
        <is>
          <t>Egypt</t>
        </is>
      </c>
      <c r="J93" s="25" t="n"/>
      <c r="K93" s="25" t="inlineStr">
        <is>
          <t>2019</t>
        </is>
      </c>
      <c r="L93" s="25" t="inlineStr">
        <is>
          <t>2019</t>
        </is>
      </c>
      <c r="M93" s="25" t="inlineStr">
        <is>
          <t>chicken</t>
        </is>
      </c>
      <c r="N93" s="25" t="inlineStr">
        <is>
          <t>feces</t>
        </is>
      </c>
      <c r="O93" s="25" t="inlineStr">
        <is>
          <t>Poultry</t>
        </is>
      </c>
      <c r="P93" s="25" t="inlineStr">
        <is>
          <t>Live bird (faeces/cloaca/organ)</t>
        </is>
      </c>
      <c r="Q93" s="25" t="inlineStr">
        <is>
          <t>environmental/other</t>
        </is>
      </c>
      <c r="R93" s="25" t="inlineStr">
        <is>
          <t>mcr-1.1</t>
        </is>
      </c>
      <c r="S93" s="25" t="n"/>
      <c r="T93" s="25" t="inlineStr">
        <is>
          <t>blaCTX-M-15</t>
        </is>
      </c>
      <c r="U93" s="25" t="n"/>
      <c r="V93" s="25" t="n"/>
      <c r="W93" s="25" t="n">
        <v>255</v>
      </c>
      <c r="X93" s="25" t="n">
        <v>24</v>
      </c>
      <c r="Y93" s="25" t="inlineStr">
        <is>
          <t>aac(3)-IIe aadA1 aadA2 aph(3'')-Ib aph(3')-Ia aph(6)-Id arr-2 blaCTX-M-15 blaTEM-1 cmlA1 dfrA14 dfrA1 dfrA7 ere(A) erm(42) erm(B) estX-3 floR gyrA_D87N gyrA_S83L mcr-1.1 mph(A) parC_S80I sul1 sul3 tet(A) tet(X5)</t>
        </is>
      </c>
      <c r="Z93" s="31" t="n">
        <v>10</v>
      </c>
      <c r="AA93" s="31" t="inlineStr">
        <is>
          <t>IncHI2A (MOB-Recon bin)</t>
        </is>
      </c>
      <c r="AB93" s="31" t="n"/>
      <c r="AC93" s="25" t="inlineStr">
        <is>
          <t>|mcr-1.1|</t>
        </is>
      </c>
      <c r="AD93" s="19" t="n">
        <v>100</v>
      </c>
      <c r="AE93" s="19" t="n">
        <v>0.1</v>
      </c>
      <c r="AF93" s="19" t="inlineStr">
        <is>
          <t>yes</t>
        </is>
      </c>
      <c r="AG93" s="19" t="inlineStr">
        <is>
          <t>Yes</t>
        </is>
      </c>
    </row>
    <row r="94" ht="15" customHeight="1" s="20">
      <c r="A94" s="25" t="inlineStr">
        <is>
          <t>PDT000797344.1</t>
        </is>
      </c>
      <c r="B94" s="25" t="inlineStr">
        <is>
          <t>SAMN14929804</t>
        </is>
      </c>
      <c r="C94" s="25" t="inlineStr">
        <is>
          <t>PRJNA631965</t>
        </is>
      </c>
      <c r="D94" s="25" t="inlineStr">
        <is>
          <t>GCA_013618615.1</t>
        </is>
      </c>
      <c r="E94" s="25" t="n"/>
      <c r="F94" s="25" t="n"/>
      <c r="G94" s="25" t="inlineStr">
        <is>
          <t>GenBank assembly (no reads)</t>
        </is>
      </c>
      <c r="H94" s="25" t="inlineStr">
        <is>
          <t>L27</t>
        </is>
      </c>
      <c r="I94" s="25" t="inlineStr">
        <is>
          <t>Nigeria</t>
        </is>
      </c>
      <c r="J94" s="25" t="n"/>
      <c r="K94" s="25" t="inlineStr">
        <is>
          <t>2019</t>
        </is>
      </c>
      <c r="L94" s="25" t="inlineStr">
        <is>
          <t>2019</t>
        </is>
      </c>
      <c r="M94" s="25" t="inlineStr">
        <is>
          <t>Gallus gallus</t>
        </is>
      </c>
      <c r="N94" s="25" t="inlineStr">
        <is>
          <t>backyard farm #18, cloacal swab # 27</t>
        </is>
      </c>
      <c r="O94" s="25" t="inlineStr">
        <is>
          <t>Poultry</t>
        </is>
      </c>
      <c r="P94" s="25" t="inlineStr">
        <is>
          <t>Live bird (faeces/cloaca/organ)</t>
        </is>
      </c>
      <c r="Q94" s="25" t="inlineStr">
        <is>
          <t>clinical</t>
        </is>
      </c>
      <c r="R94" s="25" t="inlineStr">
        <is>
          <t>mcr-1.1</t>
        </is>
      </c>
      <c r="S94" s="25" t="n"/>
      <c r="T94" s="25" t="n"/>
      <c r="U94" s="25" t="n"/>
      <c r="V94" s="25" t="n"/>
      <c r="W94" s="25" t="n">
        <v>373</v>
      </c>
      <c r="X94" s="25" t="n">
        <v>12</v>
      </c>
      <c r="Y94" s="25" t="inlineStr">
        <is>
          <t>aac(3)-IIe aadA1 aph(3'')-Ib aph(3')-Ia aph(6)-Id blaTEM-1 dfrA1 estX floR gyrA_D87N gyrA_S83L mcr-1.1 parC_A56T parC_S80I sul3 tet(A)</t>
        </is>
      </c>
      <c r="Z94" s="31" t="n">
        <v>744</v>
      </c>
      <c r="AA94" s="31" t="inlineStr">
        <is>
          <t>IncX4</t>
        </is>
      </c>
      <c r="AB94" s="31" t="n"/>
      <c r="AC94" s="25" t="inlineStr">
        <is>
          <t>|mcr-1.1|</t>
        </is>
      </c>
      <c r="AD94" s="19" t="n">
        <v>100</v>
      </c>
      <c r="AE94" s="19" t="n">
        <v>0.44</v>
      </c>
      <c r="AF94" s="19" t="inlineStr">
        <is>
          <t>no</t>
        </is>
      </c>
      <c r="AG94" s="19" t="inlineStr">
        <is>
          <t>Yes</t>
        </is>
      </c>
    </row>
    <row r="95" ht="15" customHeight="1" s="20">
      <c r="A95" s="25" t="inlineStr">
        <is>
          <t>PDT000797343.1</t>
        </is>
      </c>
      <c r="B95" s="25" t="inlineStr">
        <is>
          <t>SAMN14929806</t>
        </is>
      </c>
      <c r="C95" s="25" t="inlineStr">
        <is>
          <t>PRJNA631965</t>
        </is>
      </c>
      <c r="D95" s="25" t="inlineStr">
        <is>
          <t>GCA_013618585.1</t>
        </is>
      </c>
      <c r="E95" s="25" t="n"/>
      <c r="F95" s="25" t="n"/>
      <c r="G95" s="25" t="inlineStr">
        <is>
          <t>GenBank assembly (no reads)</t>
        </is>
      </c>
      <c r="H95" s="25" t="inlineStr">
        <is>
          <t>L40</t>
        </is>
      </c>
      <c r="I95" s="25" t="inlineStr">
        <is>
          <t>Nigeria</t>
        </is>
      </c>
      <c r="J95" s="25" t="n"/>
      <c r="K95" s="25" t="inlineStr">
        <is>
          <t>2019</t>
        </is>
      </c>
      <c r="L95" s="25" t="inlineStr">
        <is>
          <t>2019</t>
        </is>
      </c>
      <c r="M95" s="25" t="inlineStr">
        <is>
          <t>Gallus gallus</t>
        </is>
      </c>
      <c r="N95" s="25" t="inlineStr">
        <is>
          <t>backyard farm #30, cloacal swab # 40</t>
        </is>
      </c>
      <c r="O95" s="25" t="inlineStr">
        <is>
          <t>Poultry</t>
        </is>
      </c>
      <c r="P95" s="25" t="inlineStr">
        <is>
          <t>Live bird (faeces/cloaca/organ)</t>
        </is>
      </c>
      <c r="Q95" s="25" t="inlineStr">
        <is>
          <t>clinical</t>
        </is>
      </c>
      <c r="R95" s="25" t="inlineStr">
        <is>
          <t>mcr-1.1</t>
        </is>
      </c>
      <c r="S95" s="25" t="n"/>
      <c r="T95" s="25" t="n"/>
      <c r="U95" s="25" t="n"/>
      <c r="V95" s="25" t="n"/>
      <c r="W95" s="25" t="n">
        <v>213</v>
      </c>
      <c r="X95" s="25" t="n">
        <v>11</v>
      </c>
      <c r="Y95" s="25" t="inlineStr">
        <is>
          <t>aac(3)-IId aph(3'')-Ib aph(3')-Ia aph(6)-Id blaTEM-1 dfrA14 floR mcr-1.1 qnrS1 sul2 tet(A) uhpT_E350Q</t>
        </is>
      </c>
      <c r="Z95" s="31" t="n">
        <v>191</v>
      </c>
      <c r="AA95" s="31" t="inlineStr">
        <is>
          <t>IncX4</t>
        </is>
      </c>
      <c r="AB95" s="31" t="n"/>
      <c r="AC95" s="25" t="inlineStr">
        <is>
          <t>|mcr-1.1|</t>
        </is>
      </c>
      <c r="AD95" s="19" t="n">
        <v>100</v>
      </c>
      <c r="AE95" s="19" t="n">
        <v>0.12</v>
      </c>
      <c r="AF95" s="19" t="inlineStr">
        <is>
          <t>no</t>
        </is>
      </c>
      <c r="AG95" s="19" t="inlineStr">
        <is>
          <t>Yes</t>
        </is>
      </c>
    </row>
    <row r="96" ht="15" customHeight="1" s="20">
      <c r="A96" s="25" t="inlineStr">
        <is>
          <t>PDT000751444.1</t>
        </is>
      </c>
      <c r="B96" s="25" t="inlineStr">
        <is>
          <t>SAMN14898735</t>
        </is>
      </c>
      <c r="C96" s="25" t="inlineStr">
        <is>
          <t>PRJNA631965</t>
        </is>
      </c>
      <c r="D96" s="25" t="inlineStr">
        <is>
          <t>GCA_013187515.1</t>
        </is>
      </c>
      <c r="E96" s="25" t="n"/>
      <c r="F96" s="25" t="n"/>
      <c r="G96" s="25" t="inlineStr">
        <is>
          <t>GenBank assembly (no reads)</t>
        </is>
      </c>
      <c r="H96" s="25" t="inlineStr">
        <is>
          <t>L36</t>
        </is>
      </c>
      <c r="I96" s="25" t="inlineStr">
        <is>
          <t>Nigeria</t>
        </is>
      </c>
      <c r="J96" s="25" t="n"/>
      <c r="K96" s="25" t="inlineStr">
        <is>
          <t>2019</t>
        </is>
      </c>
      <c r="L96" s="25" t="inlineStr">
        <is>
          <t>2019</t>
        </is>
      </c>
      <c r="M96" s="25" t="inlineStr">
        <is>
          <t>Gallus gallus</t>
        </is>
      </c>
      <c r="N96" s="25" t="inlineStr">
        <is>
          <t>backyard farm #26, liver # 39</t>
        </is>
      </c>
      <c r="O96" s="25" t="inlineStr">
        <is>
          <t>Poultry</t>
        </is>
      </c>
      <c r="P96" s="25" t="inlineStr">
        <is>
          <t>Live bird (faeces/cloaca/organ)</t>
        </is>
      </c>
      <c r="Q96" s="25" t="inlineStr">
        <is>
          <t>clinical</t>
        </is>
      </c>
      <c r="R96" s="25" t="inlineStr">
        <is>
          <t>mcr-1.1</t>
        </is>
      </c>
      <c r="S96" s="25" t="n"/>
      <c r="T96" s="25" t="n"/>
      <c r="U96" s="25" t="n"/>
      <c r="V96" s="25" t="n"/>
      <c r="W96" s="25" t="n">
        <v>178</v>
      </c>
      <c r="X96" s="25" t="n">
        <v>11</v>
      </c>
      <c r="Y96" s="25" t="inlineStr">
        <is>
          <t>aac(3)-IId aph(3'')-Ib aph(3')-Ia aph(6)-Id blaTEM-1 dfrA14 floR mcr-1.1 qnrS1 sul2 tet(A) uhpT_E350Q</t>
        </is>
      </c>
      <c r="Z96" s="31" t="n">
        <v>191</v>
      </c>
      <c r="AA96" s="31" t="inlineStr">
        <is>
          <t>IncX4</t>
        </is>
      </c>
      <c r="AB96" s="31" t="n"/>
      <c r="AC96" s="25" t="inlineStr">
        <is>
          <t>|mcr-1.1|</t>
        </is>
      </c>
      <c r="AD96" s="19" t="n">
        <v>100</v>
      </c>
      <c r="AE96" s="19" t="n">
        <v>0.19</v>
      </c>
      <c r="AF96" s="19" t="inlineStr">
        <is>
          <t>no</t>
        </is>
      </c>
      <c r="AG96" s="19" t="inlineStr">
        <is>
          <t>Yes</t>
        </is>
      </c>
    </row>
    <row r="97" ht="15" customHeight="1" s="20">
      <c r="A97" s="25" t="inlineStr">
        <is>
          <t>PDT000751443.1</t>
        </is>
      </c>
      <c r="B97" s="25" t="inlineStr">
        <is>
          <t>SAMN14898732</t>
        </is>
      </c>
      <c r="C97" s="25" t="inlineStr">
        <is>
          <t>PRJNA631965</t>
        </is>
      </c>
      <c r="D97" s="25" t="inlineStr">
        <is>
          <t>GCA_013187505.1</t>
        </is>
      </c>
      <c r="E97" s="25" t="n"/>
      <c r="F97" s="25" t="n"/>
      <c r="G97" s="25" t="inlineStr">
        <is>
          <t>GenBank assembly (no reads)</t>
        </is>
      </c>
      <c r="H97" s="25" t="inlineStr">
        <is>
          <t>L23</t>
        </is>
      </c>
      <c r="I97" s="25" t="inlineStr">
        <is>
          <t>Nigeria</t>
        </is>
      </c>
      <c r="J97" s="25" t="n"/>
      <c r="K97" s="25" t="inlineStr">
        <is>
          <t>2019</t>
        </is>
      </c>
      <c r="L97" s="25" t="inlineStr">
        <is>
          <t>2019</t>
        </is>
      </c>
      <c r="M97" s="25" t="inlineStr">
        <is>
          <t>Gallus gallus</t>
        </is>
      </c>
      <c r="N97" s="25" t="inlineStr">
        <is>
          <t>backyard farm #12, cloacal swab # 23</t>
        </is>
      </c>
      <c r="O97" s="25" t="inlineStr">
        <is>
          <t>Poultry</t>
        </is>
      </c>
      <c r="P97" s="25" t="inlineStr">
        <is>
          <t>Live bird (faeces/cloaca/organ)</t>
        </is>
      </c>
      <c r="Q97" s="25" t="inlineStr">
        <is>
          <t>clinical</t>
        </is>
      </c>
      <c r="R97" s="25" t="inlineStr">
        <is>
          <t>mcr-1.1</t>
        </is>
      </c>
      <c r="S97" s="25" t="n"/>
      <c r="T97" s="25" t="n"/>
      <c r="U97" s="25" t="n"/>
      <c r="V97" s="25" t="n"/>
      <c r="W97" s="25" t="n">
        <v>154</v>
      </c>
      <c r="X97" s="25" t="n">
        <v>9</v>
      </c>
      <c r="Y97" s="25" t="inlineStr">
        <is>
          <t>aac(3)-VIa blaTEM-1 dfrA14 estX-3 gyrA_S83L mcr-1.1 qnrS1 sul1 sul3 tet(A)</t>
        </is>
      </c>
      <c r="Z97" s="31" t="n">
        <v>2485</v>
      </c>
      <c r="AA97" s="31" t="inlineStr">
        <is>
          <t>IncX4</t>
        </is>
      </c>
      <c r="AB97" s="31" t="n"/>
      <c r="AC97" s="25" t="inlineStr">
        <is>
          <t>|mcr-1.1|</t>
        </is>
      </c>
      <c r="AD97" s="19" t="n">
        <v>100</v>
      </c>
      <c r="AE97" s="19" t="n">
        <v>0.16</v>
      </c>
      <c r="AF97" s="19" t="inlineStr">
        <is>
          <t>no</t>
        </is>
      </c>
      <c r="AG97" s="19" t="inlineStr">
        <is>
          <t>Yes</t>
        </is>
      </c>
    </row>
    <row r="98" ht="15" customHeight="1" s="20">
      <c r="A98" s="25" t="inlineStr">
        <is>
          <t>PDT000751442.1</t>
        </is>
      </c>
      <c r="B98" s="25" t="inlineStr">
        <is>
          <t>SAMN14898734</t>
        </is>
      </c>
      <c r="C98" s="25" t="inlineStr">
        <is>
          <t>PRJNA631965</t>
        </is>
      </c>
      <c r="D98" s="25" t="inlineStr">
        <is>
          <t>GCA_013187405.1</t>
        </is>
      </c>
      <c r="E98" s="25" t="n"/>
      <c r="F98" s="25" t="n"/>
      <c r="G98" s="25" t="inlineStr">
        <is>
          <t>GenBank assembly (no reads)</t>
        </is>
      </c>
      <c r="H98" s="25" t="inlineStr">
        <is>
          <t>L29</t>
        </is>
      </c>
      <c r="I98" s="25" t="inlineStr">
        <is>
          <t>Nigeria</t>
        </is>
      </c>
      <c r="J98" s="25" t="n"/>
      <c r="K98" s="25" t="inlineStr">
        <is>
          <t>2019</t>
        </is>
      </c>
      <c r="L98" s="25" t="inlineStr">
        <is>
          <t>2019</t>
        </is>
      </c>
      <c r="M98" s="25" t="inlineStr">
        <is>
          <t>Gallus gallus</t>
        </is>
      </c>
      <c r="N98" s="25" t="inlineStr">
        <is>
          <t>backyard farm #18, cloacal swab # 29</t>
        </is>
      </c>
      <c r="O98" s="25" t="inlineStr">
        <is>
          <t>Poultry</t>
        </is>
      </c>
      <c r="P98" s="25" t="inlineStr">
        <is>
          <t>Live bird (faeces/cloaca/organ)</t>
        </is>
      </c>
      <c r="Q98" s="25" t="inlineStr">
        <is>
          <t>clinical</t>
        </is>
      </c>
      <c r="R98" s="25" t="inlineStr">
        <is>
          <t>mcr-1.1</t>
        </is>
      </c>
      <c r="S98" s="25" t="n"/>
      <c r="T98" s="25" t="n"/>
      <c r="U98" s="25" t="n"/>
      <c r="V98" s="25" t="n"/>
      <c r="W98" s="25" t="n">
        <v>145</v>
      </c>
      <c r="X98" s="25" t="n">
        <v>9</v>
      </c>
      <c r="Y98" s="25" t="inlineStr">
        <is>
          <t>aac(3)-VIa blaTEM-1 dfrA14 estX-3 gyrA_S83L mcr-1.1 qnrS1 sul1 sul3 tet(A)</t>
        </is>
      </c>
      <c r="Z98" s="31" t="n">
        <v>2485</v>
      </c>
      <c r="AA98" s="31" t="inlineStr">
        <is>
          <t>IncX4</t>
        </is>
      </c>
      <c r="AB98" s="31" t="n"/>
      <c r="AC98" s="25" t="inlineStr">
        <is>
          <t>|mcr-1.1|</t>
        </is>
      </c>
      <c r="AD98" s="19" t="n">
        <v>100</v>
      </c>
      <c r="AE98" s="19" t="n">
        <v>0.18</v>
      </c>
      <c r="AF98" s="19" t="inlineStr">
        <is>
          <t>no</t>
        </is>
      </c>
      <c r="AG98" s="19" t="inlineStr">
        <is>
          <t>Yes</t>
        </is>
      </c>
    </row>
    <row r="99" ht="15" customHeight="1" s="20">
      <c r="A99" s="25" t="inlineStr">
        <is>
          <t>PDT000669034.1</t>
        </is>
      </c>
      <c r="B99" s="25" t="inlineStr">
        <is>
          <t>SAMN13107363</t>
        </is>
      </c>
      <c r="C99" s="25" t="inlineStr">
        <is>
          <t>PRJNA579261</t>
        </is>
      </c>
      <c r="D99" s="25" t="inlineStr">
        <is>
          <t>GCA_009925515.1</t>
        </is>
      </c>
      <c r="E99" s="25" t="n"/>
      <c r="F99" s="25" t="n"/>
      <c r="G99" s="25" t="inlineStr">
        <is>
          <t>GenBank assembly (no reads)</t>
        </is>
      </c>
      <c r="H99" s="25" t="inlineStr">
        <is>
          <t>22CMI-A</t>
        </is>
      </c>
      <c r="I99" s="25" t="inlineStr">
        <is>
          <t>Tanzania</t>
        </is>
      </c>
      <c r="J99" s="25" t="inlineStr">
        <is>
          <t>Zanzibar</t>
        </is>
      </c>
      <c r="K99" s="25" t="inlineStr">
        <is>
          <t>2018</t>
        </is>
      </c>
      <c r="L99" s="25" t="inlineStr">
        <is>
          <t>2018-07</t>
        </is>
      </c>
      <c r="M99" s="25" t="n"/>
      <c r="N99" s="25" t="inlineStr">
        <is>
          <t>chicken meat</t>
        </is>
      </c>
      <c r="O99" s="25" t="inlineStr">
        <is>
          <t>Poultry</t>
        </is>
      </c>
      <c r="P99" s="25" t="inlineStr">
        <is>
          <t>Poultry meat/carcass</t>
        </is>
      </c>
      <c r="Q99" s="25" t="inlineStr">
        <is>
          <t>environmental/other</t>
        </is>
      </c>
      <c r="R99" s="25" t="inlineStr">
        <is>
          <t>mcr-1.1</t>
        </is>
      </c>
      <c r="S99" s="25" t="n"/>
      <c r="T99" s="25" t="n"/>
      <c r="U99" s="25" t="n"/>
      <c r="V99" s="25" t="n"/>
      <c r="W99" s="25" t="n">
        <v>126</v>
      </c>
      <c r="X99" s="25" t="n">
        <v>10</v>
      </c>
      <c r="Y99" s="25" t="inlineStr">
        <is>
          <t>aadA5 acrR_R192AfsTer52 aph(3'')-Ib aph(6)-Id blaTEM-1 dfrA17 gyrA_D87N gyrA_S83L mcr-1.1 mph(A) parC_S80I parE_S458A sul1 sul2 tet(A)</t>
        </is>
      </c>
      <c r="Z99" s="31" t="n">
        <v>46</v>
      </c>
      <c r="AA99" s="31" t="inlineStr">
        <is>
          <t>IncX4</t>
        </is>
      </c>
      <c r="AB99" s="31" t="n"/>
      <c r="AC99" s="25" t="inlineStr">
        <is>
          <t>|mcr-1.1|</t>
        </is>
      </c>
      <c r="AD99" s="19" t="n">
        <v>100</v>
      </c>
      <c r="AE99" s="19" t="n">
        <v>0.02</v>
      </c>
      <c r="AF99" s="19" t="inlineStr">
        <is>
          <t>no</t>
        </is>
      </c>
      <c r="AG99" s="19" t="inlineStr">
        <is>
          <t>Yes</t>
        </is>
      </c>
    </row>
    <row r="100" ht="15" customHeight="1" s="20">
      <c r="A100" s="25" t="inlineStr">
        <is>
          <t>PDT000669032.1</t>
        </is>
      </c>
      <c r="B100" s="25" t="inlineStr">
        <is>
          <t>SAMN13107361</t>
        </is>
      </c>
      <c r="C100" s="25" t="inlineStr">
        <is>
          <t>PRJNA579261</t>
        </is>
      </c>
      <c r="D100" s="25" t="inlineStr">
        <is>
          <t>GCA_009925505.1</t>
        </is>
      </c>
      <c r="E100" s="25" t="n"/>
      <c r="F100" s="25" t="n"/>
      <c r="G100" s="25" t="inlineStr">
        <is>
          <t>GenBank assembly (no reads)</t>
        </is>
      </c>
      <c r="H100" s="25" t="inlineStr">
        <is>
          <t>5CML-D</t>
        </is>
      </c>
      <c r="I100" s="25" t="inlineStr">
        <is>
          <t>Tanzania</t>
        </is>
      </c>
      <c r="J100" s="25" t="inlineStr">
        <is>
          <t>Zanzibar</t>
        </is>
      </c>
      <c r="K100" s="25" t="inlineStr">
        <is>
          <t>2018</t>
        </is>
      </c>
      <c r="L100" s="25" t="inlineStr">
        <is>
          <t>2018-07</t>
        </is>
      </c>
      <c r="M100" s="25" t="n"/>
      <c r="N100" s="25" t="inlineStr">
        <is>
          <t>chicken meat</t>
        </is>
      </c>
      <c r="O100" s="25" t="inlineStr">
        <is>
          <t>Poultry</t>
        </is>
      </c>
      <c r="P100" s="25" t="inlineStr">
        <is>
          <t>Poultry meat/carcass</t>
        </is>
      </c>
      <c r="Q100" s="25" t="inlineStr">
        <is>
          <t>environmental/other</t>
        </is>
      </c>
      <c r="R100" s="25" t="inlineStr">
        <is>
          <t>mcr-1.1</t>
        </is>
      </c>
      <c r="S100" s="25" t="n"/>
      <c r="T100" s="25" t="n"/>
      <c r="U100" s="25" t="n"/>
      <c r="V100" s="25" t="n"/>
      <c r="W100" s="25" t="n">
        <v>103</v>
      </c>
      <c r="X100" s="25" t="n">
        <v>1</v>
      </c>
      <c r="Y100" s="25" t="inlineStr">
        <is>
          <t>gyrA_D87N gyrA_S83L mcr-1.1 parC_S80I parE_S458A uhpT_E350Q</t>
        </is>
      </c>
      <c r="Z100" s="31" t="n">
        <v>224</v>
      </c>
      <c r="AA100" s="31" t="inlineStr">
        <is>
          <t>IncX4</t>
        </is>
      </c>
      <c r="AB100" s="31" t="n"/>
      <c r="AC100" s="25" t="inlineStr">
        <is>
          <t>|mcr-1.1|</t>
        </is>
      </c>
      <c r="AD100" s="19" t="n">
        <v>100</v>
      </c>
      <c r="AE100" s="19" t="n">
        <v>0.11</v>
      </c>
      <c r="AF100" s="19" t="inlineStr">
        <is>
          <t>no</t>
        </is>
      </c>
      <c r="AG100" s="19" t="inlineStr">
        <is>
          <t>Yes</t>
        </is>
      </c>
    </row>
    <row r="101" ht="15" customHeight="1" s="20">
      <c r="A101" s="25" t="inlineStr">
        <is>
          <t>PDT000669030.1</t>
        </is>
      </c>
      <c r="B101" s="25" t="inlineStr">
        <is>
          <t>SAMN13107364</t>
        </is>
      </c>
      <c r="C101" s="25" t="inlineStr">
        <is>
          <t>PRJNA579261</t>
        </is>
      </c>
      <c r="D101" s="25" t="inlineStr">
        <is>
          <t>GCA_009925485.1</t>
        </is>
      </c>
      <c r="E101" s="25" t="n"/>
      <c r="F101" s="25" t="n"/>
      <c r="G101" s="25" t="inlineStr">
        <is>
          <t>GenBank assembly (no reads)</t>
        </is>
      </c>
      <c r="H101" s="25" t="inlineStr">
        <is>
          <t>25CML-A</t>
        </is>
      </c>
      <c r="I101" s="25" t="inlineStr">
        <is>
          <t>Tanzania</t>
        </is>
      </c>
      <c r="J101" s="25" t="inlineStr">
        <is>
          <t>Zanzibar</t>
        </is>
      </c>
      <c r="K101" s="25" t="inlineStr">
        <is>
          <t>2018</t>
        </is>
      </c>
      <c r="L101" s="25" t="inlineStr">
        <is>
          <t>2018-07</t>
        </is>
      </c>
      <c r="M101" s="25" t="n"/>
      <c r="N101" s="25" t="inlineStr">
        <is>
          <t>chicken meat</t>
        </is>
      </c>
      <c r="O101" s="25" t="inlineStr">
        <is>
          <t>Poultry</t>
        </is>
      </c>
      <c r="P101" s="25" t="inlineStr">
        <is>
          <t>Poultry meat/carcass</t>
        </is>
      </c>
      <c r="Q101" s="25" t="inlineStr">
        <is>
          <t>environmental/other</t>
        </is>
      </c>
      <c r="R101" s="25" t="inlineStr">
        <is>
          <t>mcr-1.1</t>
        </is>
      </c>
      <c r="S101" s="25" t="n"/>
      <c r="T101" s="25" t="n"/>
      <c r="U101" s="25" t="n"/>
      <c r="V101" s="25" t="n"/>
      <c r="W101" s="25" t="n">
        <v>120</v>
      </c>
      <c r="X101" s="25" t="n">
        <v>10</v>
      </c>
      <c r="Y101" s="25" t="inlineStr">
        <is>
          <t>aadA5 acrR_R192AfsTer52 aph(3'')-Ib aph(6)-Id blaTEM-1 dfrA17 gyrA_D87N gyrA_S83L mcr-1.1 mph(A) parC_S80I parE_S458A sul1 sul2 tet(A)</t>
        </is>
      </c>
      <c r="Z101" s="31" t="n">
        <v>46</v>
      </c>
      <c r="AA101" s="31" t="inlineStr">
        <is>
          <t>IncX4</t>
        </is>
      </c>
      <c r="AB101" s="31" t="n"/>
      <c r="AC101" s="25" t="inlineStr">
        <is>
          <t>|mcr-1.1|</t>
        </is>
      </c>
      <c r="AD101" s="19" t="n">
        <v>100</v>
      </c>
      <c r="AE101" s="19" t="n">
        <v>0.02</v>
      </c>
      <c r="AF101" s="19" t="inlineStr">
        <is>
          <t>no</t>
        </is>
      </c>
      <c r="AG101" s="19" t="inlineStr">
        <is>
          <t>Yes</t>
        </is>
      </c>
    </row>
    <row r="102" ht="15" customHeight="1" s="20">
      <c r="A102" s="25" t="inlineStr">
        <is>
          <t>PDT000669026.1</t>
        </is>
      </c>
      <c r="B102" s="25" t="inlineStr">
        <is>
          <t>SAMN13107345</t>
        </is>
      </c>
      <c r="C102" s="25" t="inlineStr">
        <is>
          <t>PRJNA579251</t>
        </is>
      </c>
      <c r="D102" s="25" t="inlineStr">
        <is>
          <t>GCA_009925195.1</t>
        </is>
      </c>
      <c r="E102" s="25" t="n"/>
      <c r="F102" s="25" t="n"/>
      <c r="G102" s="25" t="inlineStr">
        <is>
          <t>GenBank assembly (no reads)</t>
        </is>
      </c>
      <c r="H102" s="25" t="inlineStr">
        <is>
          <t>15CS-C-C</t>
        </is>
      </c>
      <c r="I102" s="25" t="inlineStr">
        <is>
          <t>Tanzania</t>
        </is>
      </c>
      <c r="J102" s="25" t="inlineStr">
        <is>
          <t>Zanzibar</t>
        </is>
      </c>
      <c r="K102" s="25" t="inlineStr">
        <is>
          <t>2018</t>
        </is>
      </c>
      <c r="L102" s="25" t="inlineStr">
        <is>
          <t>2018-07</t>
        </is>
      </c>
      <c r="M102" s="25" t="n"/>
      <c r="N102" s="25" t="inlineStr">
        <is>
          <t>stool</t>
        </is>
      </c>
      <c r="O102" s="25" t="inlineStr">
        <is>
          <t>Unspecified</t>
        </is>
      </c>
      <c r="P102" s="25" t="n"/>
      <c r="Q102" s="25" t="inlineStr">
        <is>
          <t>environmental/other</t>
        </is>
      </c>
      <c r="R102" s="25" t="inlineStr">
        <is>
          <t>mcr-1.1</t>
        </is>
      </c>
      <c r="S102" s="25" t="n"/>
      <c r="T102" s="25" t="n"/>
      <c r="U102" s="25" t="n"/>
      <c r="V102" s="25" t="n"/>
      <c r="W102" s="25" t="n">
        <v>194</v>
      </c>
      <c r="X102" s="25" t="n">
        <v>19</v>
      </c>
      <c r="Y102" s="25" t="inlineStr">
        <is>
          <t>aac(3)-IVa aadA1 aadA2 aph(3'')-Ib aph(3')-Ia aph(4)-Ia aph(6)-Id blaTEM-1 catA2 dfrA12 dfrA14 estX-3 mcr-1.1 mph(A) qnrS1 sul1 sul3 tet(A) tet(M)</t>
        </is>
      </c>
      <c r="Z102" s="31" t="n">
        <v>155</v>
      </c>
      <c r="AA102" s="31" t="inlineStr">
        <is>
          <t>IncHI2A/IncI2 (MOB-Recon bin, mixed replicons)</t>
        </is>
      </c>
      <c r="AB102" s="31" t="inlineStr">
        <is>
          <t>MOB-Recon bin holds more than one plasmid family; mcr plasmid type not resolved with short reads.</t>
        </is>
      </c>
      <c r="AC102" s="25" t="inlineStr">
        <is>
          <t>|mcr-1.1|</t>
        </is>
      </c>
      <c r="AD102" s="19" t="n">
        <v>100</v>
      </c>
      <c r="AE102" s="19" t="n">
        <v>0.35</v>
      </c>
      <c r="AF102" s="19" t="inlineStr">
        <is>
          <t>no</t>
        </is>
      </c>
      <c r="AG102" s="19" t="inlineStr">
        <is>
          <t>Yes</t>
        </is>
      </c>
    </row>
    <row r="103" ht="15" customHeight="1" s="20">
      <c r="A103" s="25" t="inlineStr">
        <is>
          <t>PDT000669025.1</t>
        </is>
      </c>
      <c r="B103" s="25" t="inlineStr">
        <is>
          <t>SAMN13107349</t>
        </is>
      </c>
      <c r="C103" s="25" t="inlineStr">
        <is>
          <t>PRJNA579251</t>
        </is>
      </c>
      <c r="D103" s="25" t="inlineStr">
        <is>
          <t>GCA_009925175.1</t>
        </is>
      </c>
      <c r="E103" s="25" t="n"/>
      <c r="F103" s="25" t="n"/>
      <c r="G103" s="25" t="inlineStr">
        <is>
          <t>GenBank assembly (no reads)</t>
        </is>
      </c>
      <c r="H103" s="25" t="inlineStr">
        <is>
          <t>92CS-A-B</t>
        </is>
      </c>
      <c r="I103" s="25" t="inlineStr">
        <is>
          <t>Tanzania</t>
        </is>
      </c>
      <c r="J103" s="25" t="inlineStr">
        <is>
          <t>Zanzibar</t>
        </is>
      </c>
      <c r="K103" s="25" t="inlineStr">
        <is>
          <t>2018</t>
        </is>
      </c>
      <c r="L103" s="25" t="inlineStr">
        <is>
          <t>2018-07</t>
        </is>
      </c>
      <c r="M103" s="25" t="n"/>
      <c r="N103" s="25" t="inlineStr">
        <is>
          <t>stool</t>
        </is>
      </c>
      <c r="O103" s="25" t="inlineStr">
        <is>
          <t>Unspecified</t>
        </is>
      </c>
      <c r="P103" s="25" t="n"/>
      <c r="Q103" s="25" t="inlineStr">
        <is>
          <t>environmental/other</t>
        </is>
      </c>
      <c r="R103" s="25" t="inlineStr">
        <is>
          <t>mcr-1.1</t>
        </is>
      </c>
      <c r="S103" s="25" t="n"/>
      <c r="T103" s="25" t="n"/>
      <c r="U103" s="25" t="n"/>
      <c r="V103" s="25" t="n"/>
      <c r="W103" s="25" t="n">
        <v>134</v>
      </c>
      <c r="X103" s="25" t="n">
        <v>10</v>
      </c>
      <c r="Y103" s="25" t="inlineStr">
        <is>
          <t>aadA5 acrR_R192AfsTer52 aph(3'')-Ib aph(6)-Id blaTEM-1 dfrA17 gyrA_D87N gyrA_S83L mcr-1.1 mph(A) parC_S80I parE_S458A sul1 sul2 tet(A)</t>
        </is>
      </c>
      <c r="Z103" s="31" t="n">
        <v>46</v>
      </c>
      <c r="AA103" s="31" t="inlineStr">
        <is>
          <t>IncX4</t>
        </is>
      </c>
      <c r="AB103" s="31" t="n"/>
      <c r="AC103" s="25" t="inlineStr">
        <is>
          <t>|mcr-1.1|</t>
        </is>
      </c>
      <c r="AD103" s="19" t="n">
        <v>100</v>
      </c>
      <c r="AE103" s="19" t="n">
        <v>0.11</v>
      </c>
      <c r="AF103" s="19" t="inlineStr">
        <is>
          <t>no</t>
        </is>
      </c>
      <c r="AG103" s="19" t="inlineStr">
        <is>
          <t>Yes</t>
        </is>
      </c>
    </row>
    <row r="104" ht="15" customHeight="1" s="20">
      <c r="A104" s="25" t="inlineStr">
        <is>
          <t>PDT000669024.1</t>
        </is>
      </c>
      <c r="B104" s="25" t="inlineStr">
        <is>
          <t>SAMN13107350</t>
        </is>
      </c>
      <c r="C104" s="25" t="inlineStr">
        <is>
          <t>PRJNA579251</t>
        </is>
      </c>
      <c r="D104" s="25" t="inlineStr">
        <is>
          <t>GCA_009925165.1</t>
        </is>
      </c>
      <c r="E104" s="25" t="n"/>
      <c r="F104" s="25" t="n"/>
      <c r="G104" s="25" t="inlineStr">
        <is>
          <t>GenBank assembly (no reads)</t>
        </is>
      </c>
      <c r="H104" s="25" t="inlineStr">
        <is>
          <t>113CSB-F-D</t>
        </is>
      </c>
      <c r="I104" s="25" t="inlineStr">
        <is>
          <t>Tanzania</t>
        </is>
      </c>
      <c r="J104" s="25" t="inlineStr">
        <is>
          <t>Zanzibar</t>
        </is>
      </c>
      <c r="K104" s="25" t="inlineStr">
        <is>
          <t>2018</t>
        </is>
      </c>
      <c r="L104" s="25" t="inlineStr">
        <is>
          <t>2018-07</t>
        </is>
      </c>
      <c r="M104" s="25" t="n"/>
      <c r="N104" s="25" t="inlineStr">
        <is>
          <t>stool</t>
        </is>
      </c>
      <c r="O104" s="25" t="inlineStr">
        <is>
          <t>Unspecified</t>
        </is>
      </c>
      <c r="P104" s="25" t="n"/>
      <c r="Q104" s="25" t="inlineStr">
        <is>
          <t>environmental/other</t>
        </is>
      </c>
      <c r="R104" s="25" t="inlineStr">
        <is>
          <t>mcr-1.1</t>
        </is>
      </c>
      <c r="S104" s="25" t="n"/>
      <c r="T104" s="25" t="n"/>
      <c r="U104" s="25" t="n"/>
      <c r="V104" s="25" t="n"/>
      <c r="W104" s="25" t="n">
        <v>123</v>
      </c>
      <c r="X104" s="25" t="n">
        <v>10</v>
      </c>
      <c r="Y104" s="25" t="inlineStr">
        <is>
          <t>aadA5 acrR_R192AfsTer52 aph(3'')-Ib aph(6)-Id blaTEM-1 dfrA17 gyrA_D87N gyrA_S83L mcr-1.1 mph(A) parC_S80I parE_S458A sul1 sul2 tet(A)</t>
        </is>
      </c>
      <c r="Z104" s="31" t="n">
        <v>46</v>
      </c>
      <c r="AA104" s="31" t="inlineStr">
        <is>
          <t>IncX4</t>
        </is>
      </c>
      <c r="AB104" s="31" t="n"/>
      <c r="AC104" s="25" t="inlineStr">
        <is>
          <t>|mcr-1.1|</t>
        </is>
      </c>
      <c r="AD104" s="19" t="n">
        <v>100</v>
      </c>
      <c r="AE104" s="19" t="n">
        <v>0.02</v>
      </c>
      <c r="AF104" s="19" t="inlineStr">
        <is>
          <t>no</t>
        </is>
      </c>
      <c r="AG104" s="19" t="inlineStr">
        <is>
          <t>Yes</t>
        </is>
      </c>
    </row>
    <row r="105" ht="15" customHeight="1" s="20">
      <c r="A105" s="25" t="inlineStr">
        <is>
          <t>PDT000669023.1</t>
        </is>
      </c>
      <c r="B105" s="25" t="inlineStr">
        <is>
          <t>SAMN13107346</t>
        </is>
      </c>
      <c r="C105" s="25" t="inlineStr">
        <is>
          <t>PRJNA579251</t>
        </is>
      </c>
      <c r="D105" s="25" t="inlineStr">
        <is>
          <t>GCA_009925145.1</t>
        </is>
      </c>
      <c r="E105" s="25" t="n"/>
      <c r="F105" s="25" t="n"/>
      <c r="G105" s="25" t="inlineStr">
        <is>
          <t>GenBank assembly (no reads)</t>
        </is>
      </c>
      <c r="H105" s="25" t="inlineStr">
        <is>
          <t>75CS-C-D</t>
        </is>
      </c>
      <c r="I105" s="25" t="inlineStr">
        <is>
          <t>Tanzania</t>
        </is>
      </c>
      <c r="J105" s="25" t="inlineStr">
        <is>
          <t>Zanzibar</t>
        </is>
      </c>
      <c r="K105" s="25" t="inlineStr">
        <is>
          <t>2018</t>
        </is>
      </c>
      <c r="L105" s="25" t="inlineStr">
        <is>
          <t>2018-07</t>
        </is>
      </c>
      <c r="M105" s="25" t="n"/>
      <c r="N105" s="25" t="inlineStr">
        <is>
          <t>stool</t>
        </is>
      </c>
      <c r="O105" s="25" t="inlineStr">
        <is>
          <t>Unspecified</t>
        </is>
      </c>
      <c r="P105" s="25" t="n"/>
      <c r="Q105" s="25" t="inlineStr">
        <is>
          <t>environmental/other</t>
        </is>
      </c>
      <c r="R105" s="25" t="inlineStr">
        <is>
          <t>mcr-1.1</t>
        </is>
      </c>
      <c r="S105" s="25" t="n"/>
      <c r="T105" s="25" t="n"/>
      <c r="U105" s="25" t="n"/>
      <c r="V105" s="25" t="n"/>
      <c r="W105" s="25" t="n">
        <v>135</v>
      </c>
      <c r="X105" s="25" t="n">
        <v>10</v>
      </c>
      <c r="Y105" s="25" t="inlineStr">
        <is>
          <t>aadA5 acrR_R192AfsTer52 aph(3'')-Ib aph(6)-Id blaTEM-1 dfrA17 gyrA_D87N gyrA_S83L mcr-1.1 mph(A) parC_S80I parE_S458A sul1 sul2 tet(A)</t>
        </is>
      </c>
      <c r="Z105" s="31" t="n">
        <v>46</v>
      </c>
      <c r="AA105" s="31" t="inlineStr">
        <is>
          <t>IncX4</t>
        </is>
      </c>
      <c r="AB105" s="31" t="n"/>
      <c r="AC105" s="25" t="inlineStr">
        <is>
          <t>|mcr-1.1|</t>
        </is>
      </c>
      <c r="AD105" s="19" t="n">
        <v>100</v>
      </c>
      <c r="AE105" s="19" t="n">
        <v>0.11</v>
      </c>
      <c r="AF105" s="19" t="inlineStr">
        <is>
          <t>no</t>
        </is>
      </c>
      <c r="AG105" s="19" t="inlineStr">
        <is>
          <t>Yes</t>
        </is>
      </c>
    </row>
    <row r="106" ht="15" customHeight="1" s="20">
      <c r="A106" s="25" t="inlineStr">
        <is>
          <t>PDT000565514.2</t>
        </is>
      </c>
      <c r="B106" s="25" t="inlineStr">
        <is>
          <t>SAMN12501891</t>
        </is>
      </c>
      <c r="C106" s="25" t="inlineStr">
        <is>
          <t>PRJNA558906</t>
        </is>
      </c>
      <c r="D106" s="25" t="inlineStr">
        <is>
          <t>GCA_007993675.2</t>
        </is>
      </c>
      <c r="E106" s="25" t="n"/>
      <c r="F106" s="25" t="n"/>
      <c r="G106" s="25" t="inlineStr">
        <is>
          <t>GenBank assembly (no reads)</t>
        </is>
      </c>
      <c r="H106" s="25" t="inlineStr">
        <is>
          <t>A50</t>
        </is>
      </c>
      <c r="I106" s="25" t="inlineStr">
        <is>
          <t>Algeria</t>
        </is>
      </c>
      <c r="J106" s="25" t="n"/>
      <c r="K106" s="25" t="inlineStr">
        <is>
          <t>2017</t>
        </is>
      </c>
      <c r="L106" s="25" t="inlineStr">
        <is>
          <t>2017-03-15</t>
        </is>
      </c>
      <c r="M106" s="25" t="inlineStr">
        <is>
          <t>Gallus gallus domesticus ISA15</t>
        </is>
      </c>
      <c r="N106" s="25" t="n"/>
      <c r="O106" s="25" t="inlineStr">
        <is>
          <t>Poultry</t>
        </is>
      </c>
      <c r="P106" s="25" t="inlineStr">
        <is>
          <t>Live bird (faeces/cloaca/organ)</t>
        </is>
      </c>
      <c r="Q106" s="25" t="n"/>
      <c r="R106" s="25" t="inlineStr">
        <is>
          <t>mcr-1.1</t>
        </is>
      </c>
      <c r="S106" s="25" t="n"/>
      <c r="T106" s="25" t="n"/>
      <c r="U106" s="25" t="n"/>
      <c r="V106" s="25" t="n"/>
      <c r="W106" s="25" t="n">
        <v>7</v>
      </c>
      <c r="X106" s="25" t="n">
        <v>2</v>
      </c>
      <c r="Y106" s="25" t="inlineStr">
        <is>
          <t>acrR_E190RfsTer20 aph(3')-Ia gyrA_D87N gyrA_S83L mcr-1.1 parC_S80I parE_S458A</t>
        </is>
      </c>
      <c r="Z106" s="31" t="n">
        <v>10</v>
      </c>
      <c r="AA106" s="31" t="inlineStr">
        <is>
          <t>IncI2</t>
        </is>
      </c>
      <c r="AB106" s="31" t="inlineStr">
        <is>
          <t>Counted once, as IncI2-borne mcr-1.1. The complete 62,001 bp IncI2 plasmid CP042471.2 is also present, at 100% identity over its full length, inside the 4.96 Mb contig CP042470.1 (positions 4,842,486 to 4,904,486; BLASTN). The second mcr-1.1 call lies inside this embedded copy. The copy starts and ends exactly at the arbitrary start and end of the deposited plasmid sequence, which points to an assembly or submission artefact rather than a true integration. MOB-Recon also finds IncFIB, IncI2 and IncX1 replicons on CP042470.1 and reports it as not circularised.</t>
        </is>
      </c>
      <c r="AC106" s="25" t="inlineStr">
        <is>
          <t>|mcr-1.1|</t>
        </is>
      </c>
      <c r="AD106" s="19" t="n">
        <v>100</v>
      </c>
      <c r="AE106" s="19" t="n">
        <v>0.85</v>
      </c>
      <c r="AF106" s="19" t="inlineStr">
        <is>
          <t>yes</t>
        </is>
      </c>
      <c r="AG106" s="19" t="inlineStr">
        <is>
          <t>Yes</t>
        </is>
      </c>
    </row>
    <row r="107" ht="15" customHeight="1" s="20">
      <c r="A107" s="25" t="inlineStr">
        <is>
          <t>PDT000626013.1</t>
        </is>
      </c>
      <c r="B107" s="25" t="inlineStr">
        <is>
          <t>SAMN13245793</t>
        </is>
      </c>
      <c r="C107" s="25" t="inlineStr">
        <is>
          <t>PRJNA293225</t>
        </is>
      </c>
      <c r="D107" s="25" t="inlineStr">
        <is>
          <t>GCA_012618325.1</t>
        </is>
      </c>
      <c r="E107" s="25" t="inlineStr">
        <is>
          <t>SRR10420728</t>
        </is>
      </c>
      <c r="F107" s="25" t="n"/>
      <c r="G107" s="25" t="inlineStr">
        <is>
          <t>SRA Illumina PE reads</t>
        </is>
      </c>
      <c r="H107" s="25" t="inlineStr">
        <is>
          <t>MA_293</t>
        </is>
      </c>
      <c r="I107" s="25" t="inlineStr">
        <is>
          <t>Nigeria</t>
        </is>
      </c>
      <c r="J107" s="25" t="n"/>
      <c r="K107" s="25" t="inlineStr">
        <is>
          <t>2019</t>
        </is>
      </c>
      <c r="L107" s="25" t="inlineStr">
        <is>
          <t>2019-02-20</t>
        </is>
      </c>
      <c r="M107" s="25" t="inlineStr">
        <is>
          <t>Homo sapiens</t>
        </is>
      </c>
      <c r="N107" s="25" t="inlineStr">
        <is>
          <t>stool</t>
        </is>
      </c>
      <c r="O107" s="25" t="inlineStr">
        <is>
          <t>Human</t>
        </is>
      </c>
      <c r="P107" s="25" t="n"/>
      <c r="Q107" s="25" t="inlineStr">
        <is>
          <t>clinical</t>
        </is>
      </c>
      <c r="R107" s="25" t="inlineStr">
        <is>
          <t>mcr-1.1</t>
        </is>
      </c>
      <c r="S107" s="25" t="n"/>
      <c r="T107" s="25" t="n"/>
      <c r="U107" s="25" t="n"/>
      <c r="V107" s="25" t="n"/>
      <c r="W107" s="25" t="n">
        <v>147</v>
      </c>
      <c r="X107" s="25" t="n">
        <v>8</v>
      </c>
      <c r="Y107" s="25" t="inlineStr">
        <is>
          <t>aph(6)-Id aph(6)-Id blaTEM-1 dfrA14 mcr-1.1 qnrS1 sul3 tet(A)</t>
        </is>
      </c>
      <c r="Z107" s="31" t="n">
        <v>1638</v>
      </c>
      <c r="AA107" s="31" t="inlineStr">
        <is>
          <t>IncX4</t>
        </is>
      </c>
      <c r="AB107" s="31" t="n"/>
      <c r="AC107" s="25" t="inlineStr">
        <is>
          <t>|mcr-1.1|</t>
        </is>
      </c>
      <c r="AD107" s="19" t="n">
        <v>100</v>
      </c>
      <c r="AE107" s="19" t="n">
        <v>0.2</v>
      </c>
      <c r="AF107" s="19" t="inlineStr">
        <is>
          <t>no</t>
        </is>
      </c>
      <c r="AG107" s="19" t="inlineStr">
        <is>
          <t>Yes</t>
        </is>
      </c>
    </row>
    <row r="108" ht="15" customHeight="1" s="20">
      <c r="A108" s="25" t="inlineStr">
        <is>
          <t>PDT000584495.1</t>
        </is>
      </c>
      <c r="B108" s="25" t="inlineStr">
        <is>
          <t>SAMN12727826</t>
        </is>
      </c>
      <c r="C108" s="25" t="inlineStr">
        <is>
          <t>PRJNA293225</t>
        </is>
      </c>
      <c r="D108" s="25" t="inlineStr">
        <is>
          <t>GCA_012453805.1</t>
        </is>
      </c>
      <c r="E108" s="25" t="inlineStr">
        <is>
          <t>SRR10098861</t>
        </is>
      </c>
      <c r="F108" s="25" t="n"/>
      <c r="G108" s="25" t="inlineStr">
        <is>
          <t>SRA Illumina PE reads</t>
        </is>
      </c>
      <c r="H108" s="25" t="inlineStr">
        <is>
          <t>MA_049</t>
        </is>
      </c>
      <c r="I108" s="25" t="inlineStr">
        <is>
          <t>Nigeria</t>
        </is>
      </c>
      <c r="J108" s="25" t="n"/>
      <c r="K108" s="25" t="inlineStr">
        <is>
          <t>2018</t>
        </is>
      </c>
      <c r="L108" s="25" t="inlineStr">
        <is>
          <t>2018-12-03</t>
        </is>
      </c>
      <c r="M108" s="25" t="n"/>
      <c r="N108" s="25" t="inlineStr">
        <is>
          <t>poultry water</t>
        </is>
      </c>
      <c r="O108" s="25" t="inlineStr">
        <is>
          <t>Poultry</t>
        </is>
      </c>
      <c r="P108" s="25" t="inlineStr">
        <is>
          <t>Poultry drinking water</t>
        </is>
      </c>
      <c r="Q108" s="25" t="inlineStr">
        <is>
          <t>environmental/other</t>
        </is>
      </c>
      <c r="R108" s="25" t="inlineStr">
        <is>
          <t>mcr-1.1</t>
        </is>
      </c>
      <c r="S108" s="25" t="n"/>
      <c r="T108" s="25" t="n"/>
      <c r="U108" s="25" t="n"/>
      <c r="V108" s="25" t="n"/>
      <c r="W108" s="25" t="n">
        <v>224</v>
      </c>
      <c r="X108" s="25" t="n">
        <v>12</v>
      </c>
      <c r="Y108" s="25" t="inlineStr">
        <is>
          <t>aac(3)-IId aph(3'')-Ib aph(3')-Ia aph(6)-Id blaTEM-1 dfrA14 floR mcr-1.1 qnrB19 qnrS1 sul2 tet(A)</t>
        </is>
      </c>
      <c r="Z108" s="31" t="n">
        <v>10</v>
      </c>
      <c r="AA108" s="31" t="inlineStr">
        <is>
          <t>IncX4</t>
        </is>
      </c>
      <c r="AB108" s="31" t="n"/>
      <c r="AC108" s="25" t="inlineStr">
        <is>
          <t>|mcr-1.1|</t>
        </is>
      </c>
      <c r="AD108" s="19" t="n">
        <v>100</v>
      </c>
      <c r="AE108" s="19" t="n">
        <v>0.9</v>
      </c>
      <c r="AF108" s="19" t="inlineStr">
        <is>
          <t>no</t>
        </is>
      </c>
      <c r="AG108" s="19" t="inlineStr">
        <is>
          <t>Yes</t>
        </is>
      </c>
    </row>
    <row r="109" ht="15" customHeight="1" s="20">
      <c r="A109" s="25" t="inlineStr">
        <is>
          <t>PDT000364514.2</t>
        </is>
      </c>
      <c r="B109" s="25" t="inlineStr">
        <is>
          <t>SAMN06928087</t>
        </is>
      </c>
      <c r="C109" s="25" t="inlineStr">
        <is>
          <t>PRJNA230969</t>
        </is>
      </c>
      <c r="D109" s="25" t="inlineStr">
        <is>
          <t>GCA_003399775.2</t>
        </is>
      </c>
      <c r="E109" s="25" t="inlineStr">
        <is>
          <t>SRR5688544</t>
        </is>
      </c>
      <c r="F109" s="25" t="inlineStr">
        <is>
          <t>SRR23562243</t>
        </is>
      </c>
      <c r="G109" s="25" t="inlineStr">
        <is>
          <t>SRA Illumina PE reads</t>
        </is>
      </c>
      <c r="H109" s="25" t="inlineStr">
        <is>
          <t>CFSAN061769</t>
        </is>
      </c>
      <c r="I109" s="25" t="inlineStr">
        <is>
          <t>Egypt</t>
        </is>
      </c>
      <c r="J109" s="25" t="n"/>
      <c r="K109" s="25" t="inlineStr">
        <is>
          <t>2016</t>
        </is>
      </c>
      <c r="L109" s="25" t="inlineStr">
        <is>
          <t>2016</t>
        </is>
      </c>
      <c r="M109" s="25" t="n"/>
      <c r="N109" s="25" t="inlineStr">
        <is>
          <t>raw milk cheese</t>
        </is>
      </c>
      <c r="O109" s="25" t="inlineStr">
        <is>
          <t>Food (non-poultry)</t>
        </is>
      </c>
      <c r="P109" s="25" t="n"/>
      <c r="Q109" s="25" t="inlineStr">
        <is>
          <t>environmental/other</t>
        </is>
      </c>
      <c r="R109" s="25" t="inlineStr">
        <is>
          <t>mcr-1.1</t>
        </is>
      </c>
      <c r="S109" s="25" t="n"/>
      <c r="T109" s="25" t="n"/>
      <c r="U109" s="25" t="n"/>
      <c r="V109" s="25" t="inlineStr">
        <is>
          <t>pmrB_C84R</t>
        </is>
      </c>
      <c r="W109" s="25" t="n">
        <v>4</v>
      </c>
      <c r="X109" s="25" t="n">
        <v>9</v>
      </c>
      <c r="Y109" s="25" t="inlineStr">
        <is>
          <t>aadA1 aadA2 blaTEM-1 cmlA1 dfrA12 floR gyrA_D87N gyrA_S83L mcr-1.1 parC_S80I pmrB_C84R sul3 tet(A)</t>
        </is>
      </c>
      <c r="Z109" s="31" t="n">
        <v>2016</v>
      </c>
      <c r="AA109" s="31" t="inlineStr">
        <is>
          <t>IncX4</t>
        </is>
      </c>
      <c r="AB109" s="31" t="n"/>
      <c r="AC109" s="25" t="inlineStr">
        <is>
          <t>|mcr-1.1|</t>
        </is>
      </c>
      <c r="AD109" s="19" t="n">
        <v>100</v>
      </c>
      <c r="AE109" s="19" t="n">
        <v>0.42</v>
      </c>
      <c r="AF109" s="19" t="inlineStr">
        <is>
          <t>no</t>
        </is>
      </c>
      <c r="AG109" s="19" t="inlineStr">
        <is>
          <t>Yes</t>
        </is>
      </c>
    </row>
    <row r="110" ht="15" customHeight="1" s="20">
      <c r="A110" s="25" t="inlineStr">
        <is>
          <t>PDT000364524.2</t>
        </is>
      </c>
      <c r="B110" s="25" t="inlineStr">
        <is>
          <t>SAMN06909729</t>
        </is>
      </c>
      <c r="C110" s="25" t="inlineStr">
        <is>
          <t>PRJNA230969</t>
        </is>
      </c>
      <c r="D110" s="25" t="inlineStr">
        <is>
          <t>GCA_003400045.2</t>
        </is>
      </c>
      <c r="E110" s="25" t="inlineStr">
        <is>
          <t>SRR5688554</t>
        </is>
      </c>
      <c r="F110" s="25" t="n"/>
      <c r="G110" s="25" t="inlineStr">
        <is>
          <t>SRA Illumina PE reads</t>
        </is>
      </c>
      <c r="H110" s="25" t="inlineStr">
        <is>
          <t>CFSAN061771</t>
        </is>
      </c>
      <c r="I110" s="25" t="inlineStr">
        <is>
          <t>Egypt</t>
        </is>
      </c>
      <c r="J110" s="25" t="n"/>
      <c r="K110" s="25" t="inlineStr">
        <is>
          <t>2016</t>
        </is>
      </c>
      <c r="L110" s="25" t="inlineStr">
        <is>
          <t>2016</t>
        </is>
      </c>
      <c r="M110" s="25" t="n"/>
      <c r="N110" s="25" t="inlineStr">
        <is>
          <t>raw milk cheese</t>
        </is>
      </c>
      <c r="O110" s="25" t="inlineStr">
        <is>
          <t>Food (non-poultry)</t>
        </is>
      </c>
      <c r="P110" s="25" t="n"/>
      <c r="Q110" s="25" t="inlineStr">
        <is>
          <t>environmental/other</t>
        </is>
      </c>
      <c r="R110" s="25" t="inlineStr">
        <is>
          <t>mcr-1.1</t>
        </is>
      </c>
      <c r="S110" s="25" t="n"/>
      <c r="T110" s="25" t="n"/>
      <c r="U110" s="25" t="n"/>
      <c r="V110" s="25" t="n"/>
      <c r="W110" s="25" t="n">
        <v>3</v>
      </c>
      <c r="X110" s="25" t="n">
        <v>11</v>
      </c>
      <c r="Y110" s="25" t="inlineStr">
        <is>
          <t>aadA1 aadA2 aph(3'')-Ib aph(6)-Id blaTEM-1 cmlA1 cyaA_S352T dfrA14 estX-3 gyrA_S83L mcr-1.1 parC_S80I sul2 sul3</t>
        </is>
      </c>
      <c r="Z110" s="31" t="n">
        <v>1485</v>
      </c>
      <c r="AA110" s="31" t="inlineStr">
        <is>
          <t>IncHI2A (MOB-Recon bin)</t>
        </is>
      </c>
      <c r="AB110" s="31" t="n"/>
      <c r="AC110" s="25" t="inlineStr">
        <is>
          <t>|mcr-1.1|</t>
        </is>
      </c>
      <c r="AD110" s="19" t="n">
        <v>100</v>
      </c>
      <c r="AE110" s="19" t="n">
        <v>0.18</v>
      </c>
      <c r="AF110" s="19" t="inlineStr">
        <is>
          <t>no</t>
        </is>
      </c>
      <c r="AG110" s="19" t="inlineStr">
        <is>
          <t>Yes</t>
        </is>
      </c>
    </row>
    <row r="111" ht="15" customHeight="1" s="20">
      <c r="A111" s="25" t="inlineStr">
        <is>
          <t>PDT000364522.2</t>
        </is>
      </c>
      <c r="B111" s="25" t="inlineStr">
        <is>
          <t>SAMN06909728</t>
        </is>
      </c>
      <c r="C111" s="25" t="inlineStr">
        <is>
          <t>PRJNA230969</t>
        </is>
      </c>
      <c r="D111" s="25" t="inlineStr">
        <is>
          <t>GCA_003399945.2</t>
        </is>
      </c>
      <c r="E111" s="25" t="inlineStr">
        <is>
          <t>SRR5688556</t>
        </is>
      </c>
      <c r="F111" s="25" t="n"/>
      <c r="G111" s="25" t="inlineStr">
        <is>
          <t>SRA Illumina PE reads</t>
        </is>
      </c>
      <c r="H111" s="25" t="inlineStr">
        <is>
          <t>CFSAN061772</t>
        </is>
      </c>
      <c r="I111" s="25" t="inlineStr">
        <is>
          <t>Egypt</t>
        </is>
      </c>
      <c r="J111" s="25" t="n"/>
      <c r="K111" s="25" t="inlineStr">
        <is>
          <t>2016</t>
        </is>
      </c>
      <c r="L111" s="25" t="inlineStr">
        <is>
          <t>2016</t>
        </is>
      </c>
      <c r="M111" s="25" t="n"/>
      <c r="N111" s="25" t="inlineStr">
        <is>
          <t>raw milk cheese</t>
        </is>
      </c>
      <c r="O111" s="25" t="inlineStr">
        <is>
          <t>Food (non-poultry)</t>
        </is>
      </c>
      <c r="P111" s="25" t="n"/>
      <c r="Q111" s="25" t="inlineStr">
        <is>
          <t>environmental/other</t>
        </is>
      </c>
      <c r="R111" s="25" t="inlineStr">
        <is>
          <t>mcr-1.1</t>
        </is>
      </c>
      <c r="S111" s="25" t="n"/>
      <c r="T111" s="25" t="n"/>
      <c r="U111" s="25" t="n"/>
      <c r="V111" s="25" t="n"/>
      <c r="W111" s="25" t="n">
        <v>3</v>
      </c>
      <c r="X111" s="25" t="n">
        <v>21</v>
      </c>
      <c r="Y111" s="25" t="inlineStr">
        <is>
          <t>aac(3)-IIe aadA1 aadA22 aadA2 aph(3'')-Ib aph(3')-Ia aph(6)-Id blaSHV-12 blaTEM-1 cmlA1 dfrA12 estX-3 floR lnu(F) mcr-1.1 qnrS11 qnrS1 sul2 sul3 tet(A) tet(A)</t>
        </is>
      </c>
      <c r="Z111" s="31" t="n">
        <v>10</v>
      </c>
      <c r="AA111" s="31" t="inlineStr">
        <is>
          <t>IncHI2A/IncQ1 (MOB-Recon bin)</t>
        </is>
      </c>
      <c r="AB111" s="31" t="n"/>
      <c r="AC111" s="25" t="inlineStr">
        <is>
          <t>|mcr-1.1|</t>
        </is>
      </c>
      <c r="AD111" s="19" t="n">
        <v>100</v>
      </c>
      <c r="AE111" s="19" t="n">
        <v>0.4</v>
      </c>
      <c r="AF111" s="19" t="inlineStr">
        <is>
          <t>yes</t>
        </is>
      </c>
      <c r="AG111" s="19" t="inlineStr">
        <is>
          <t>Yes</t>
        </is>
      </c>
    </row>
    <row r="112" ht="15" customHeight="1" s="20">
      <c r="A112" s="25" t="inlineStr">
        <is>
          <t>PDT000537962.1</t>
        </is>
      </c>
      <c r="B112" s="25" t="inlineStr">
        <is>
          <t>SAMN10986378</t>
        </is>
      </c>
      <c r="C112" s="25" t="inlineStr">
        <is>
          <t>PRJNA523709</t>
        </is>
      </c>
      <c r="D112" s="25" t="inlineStr">
        <is>
          <t>GCA_012298495.1</t>
        </is>
      </c>
      <c r="E112" s="25" t="inlineStr">
        <is>
          <t>SRR8610355</t>
        </is>
      </c>
      <c r="F112" s="25" t="n"/>
      <c r="G112" s="25" t="inlineStr">
        <is>
          <t>SRA Illumina PE reads</t>
        </is>
      </c>
      <c r="H112" s="25" t="inlineStr">
        <is>
          <t>121 HS-D</t>
        </is>
      </c>
      <c r="I112" s="25" t="inlineStr">
        <is>
          <t>Tanzania</t>
        </is>
      </c>
      <c r="J112" s="25" t="n"/>
      <c r="K112" s="25" t="inlineStr">
        <is>
          <t>2018</t>
        </is>
      </c>
      <c r="L112" s="25" t="inlineStr">
        <is>
          <t>2018-06</t>
        </is>
      </c>
      <c r="M112" s="25" t="inlineStr">
        <is>
          <t>Homo sapiens</t>
        </is>
      </c>
      <c r="N112" s="25" t="n"/>
      <c r="O112" s="25" t="inlineStr">
        <is>
          <t>Human</t>
        </is>
      </c>
      <c r="P112" s="25" t="n"/>
      <c r="Q112" s="25" t="inlineStr">
        <is>
          <t>clinical</t>
        </is>
      </c>
      <c r="R112" s="25" t="inlineStr">
        <is>
          <t>mcr-1.1</t>
        </is>
      </c>
      <c r="S112" s="25" t="n"/>
      <c r="T112" s="25" t="n"/>
      <c r="U112" s="25" t="n"/>
      <c r="V112" s="25" t="n"/>
      <c r="W112" s="25" t="n">
        <v>100</v>
      </c>
      <c r="X112" s="25" t="n">
        <v>10</v>
      </c>
      <c r="Y112" s="25" t="inlineStr">
        <is>
          <t>aadA5 acrR_R192AfsTer52 aph(3'')-Ib aph(6)-Id blaTEM-1 dfrA17 gyrA_D87N gyrA_S83L mcr-1.1 mph(A) parC_S80I parE_S458A sul1 sul2 tet(A)</t>
        </is>
      </c>
      <c r="Z112" s="31" t="n">
        <v>46</v>
      </c>
      <c r="AA112" s="31" t="inlineStr">
        <is>
          <t>IncX4</t>
        </is>
      </c>
      <c r="AB112" s="31" t="n"/>
      <c r="AC112" s="25" t="inlineStr">
        <is>
          <t>|mcr-1.1|</t>
        </is>
      </c>
      <c r="AD112" s="19" t="n">
        <v>100</v>
      </c>
      <c r="AE112" s="19" t="n">
        <v>0.01</v>
      </c>
      <c r="AF112" s="19" t="inlineStr">
        <is>
          <t>no</t>
        </is>
      </c>
      <c r="AG112" s="19" t="inlineStr">
        <is>
          <t>Yes</t>
        </is>
      </c>
    </row>
    <row r="113" ht="15" customHeight="1" s="20">
      <c r="A113" s="25" t="inlineStr">
        <is>
          <t>PDT000537951.1</t>
        </is>
      </c>
      <c r="B113" s="25" t="inlineStr">
        <is>
          <t>SAMN10986384</t>
        </is>
      </c>
      <c r="C113" s="25" t="inlineStr">
        <is>
          <t>PRJNA523709</t>
        </is>
      </c>
      <c r="D113" s="25" t="inlineStr">
        <is>
          <t>GCA_012298625.1</t>
        </is>
      </c>
      <c r="E113" s="25" t="inlineStr">
        <is>
          <t>SRR8610343</t>
        </is>
      </c>
      <c r="F113" s="25" t="n"/>
      <c r="G113" s="25" t="inlineStr">
        <is>
          <t>SRA Illumina PE reads</t>
        </is>
      </c>
      <c r="H113" s="25" t="inlineStr">
        <is>
          <t>50 HS-C</t>
        </is>
      </c>
      <c r="I113" s="25" t="inlineStr">
        <is>
          <t>Tanzania</t>
        </is>
      </c>
      <c r="J113" s="25" t="n"/>
      <c r="K113" s="25" t="inlineStr">
        <is>
          <t>2018</t>
        </is>
      </c>
      <c r="L113" s="25" t="inlineStr">
        <is>
          <t>2018-06</t>
        </is>
      </c>
      <c r="M113" s="25" t="inlineStr">
        <is>
          <t>Homo sapiens</t>
        </is>
      </c>
      <c r="N113" s="25" t="n"/>
      <c r="O113" s="25" t="inlineStr">
        <is>
          <t>Human</t>
        </is>
      </c>
      <c r="P113" s="25" t="n"/>
      <c r="Q113" s="25" t="inlineStr">
        <is>
          <t>clinical</t>
        </is>
      </c>
      <c r="R113" s="25" t="inlineStr">
        <is>
          <t>mcr-1.1</t>
        </is>
      </c>
      <c r="S113" s="25" t="n"/>
      <c r="T113" s="25" t="n"/>
      <c r="U113" s="25" t="n"/>
      <c r="V113" s="25" t="n"/>
      <c r="W113" s="25" t="n">
        <v>105</v>
      </c>
      <c r="X113" s="25" t="n">
        <v>10</v>
      </c>
      <c r="Y113" s="25" t="inlineStr">
        <is>
          <t>aadA5 acrR_R192AfsTer52 aph(3'')-Ib aph(6)-Id blaTEM-1 dfrA17 gyrA_D87N gyrA_S83L mcr-1.1 mph(A) parC_S80I parE_S458A sul1 sul2 tet(A)</t>
        </is>
      </c>
      <c r="Z113" s="31" t="n">
        <v>46</v>
      </c>
      <c r="AA113" s="31" t="inlineStr">
        <is>
          <t>IncX4</t>
        </is>
      </c>
      <c r="AB113" s="31" t="n"/>
      <c r="AC113" s="25" t="inlineStr">
        <is>
          <t>|mcr-1.1|</t>
        </is>
      </c>
      <c r="AD113" s="19" t="n">
        <v>100</v>
      </c>
      <c r="AE113" s="19" t="n">
        <v>0.01</v>
      </c>
      <c r="AF113" s="19" t="inlineStr">
        <is>
          <t>no</t>
        </is>
      </c>
      <c r="AG113" s="19" t="inlineStr">
        <is>
          <t>Yes</t>
        </is>
      </c>
    </row>
    <row r="114" ht="15" customHeight="1" s="20">
      <c r="A114" s="25" t="inlineStr">
        <is>
          <t>PDT000537935.1</t>
        </is>
      </c>
      <c r="B114" s="25" t="inlineStr">
        <is>
          <t>SAMN10986379</t>
        </is>
      </c>
      <c r="C114" s="25" t="inlineStr">
        <is>
          <t>PRJNA523709</t>
        </is>
      </c>
      <c r="D114" s="25" t="inlineStr">
        <is>
          <t>GCA_012298825.1</t>
        </is>
      </c>
      <c r="E114" s="25" t="inlineStr">
        <is>
          <t>SRR8610327</t>
        </is>
      </c>
      <c r="F114" s="25" t="n"/>
      <c r="G114" s="25" t="inlineStr">
        <is>
          <t>SRA Illumina PE reads</t>
        </is>
      </c>
      <c r="H114" s="25" t="inlineStr">
        <is>
          <t>18 HS-D</t>
        </is>
      </c>
      <c r="I114" s="25" t="inlineStr">
        <is>
          <t>Tanzania</t>
        </is>
      </c>
      <c r="J114" s="25" t="n"/>
      <c r="K114" s="25" t="inlineStr">
        <is>
          <t>2018</t>
        </is>
      </c>
      <c r="L114" s="25" t="inlineStr">
        <is>
          <t>2018-06</t>
        </is>
      </c>
      <c r="M114" s="25" t="inlineStr">
        <is>
          <t>Homo sapiens</t>
        </is>
      </c>
      <c r="N114" s="25" t="n"/>
      <c r="O114" s="25" t="inlineStr">
        <is>
          <t>Human</t>
        </is>
      </c>
      <c r="P114" s="25" t="n"/>
      <c r="Q114" s="25" t="inlineStr">
        <is>
          <t>clinical</t>
        </is>
      </c>
      <c r="R114" s="25" t="inlineStr">
        <is>
          <t>mcr-1.1</t>
        </is>
      </c>
      <c r="S114" s="25" t="n"/>
      <c r="T114" s="25" t="n"/>
      <c r="U114" s="25" t="n"/>
      <c r="V114" s="25" t="n"/>
      <c r="W114" s="25" t="n">
        <v>108</v>
      </c>
      <c r="X114" s="25" t="n">
        <v>10</v>
      </c>
      <c r="Y114" s="25" t="inlineStr">
        <is>
          <t>aadA5 acrR_R192AfsTer52 aph(3'')-Ib aph(6)-Id blaTEM-1 dfrA17 gyrA_D87N gyrA_S83L mcr-1.1 mph(A) parC_S80I parE_S458A sul1 sul2 tet(A)</t>
        </is>
      </c>
      <c r="Z114" s="31" t="n">
        <v>46</v>
      </c>
      <c r="AA114" s="31" t="inlineStr">
        <is>
          <t>IncX4</t>
        </is>
      </c>
      <c r="AB114" s="31" t="n"/>
      <c r="AC114" s="25" t="inlineStr">
        <is>
          <t>|mcr-1.1|</t>
        </is>
      </c>
      <c r="AD114" s="19" t="n">
        <v>100</v>
      </c>
      <c r="AE114" s="19" t="n">
        <v>0.02</v>
      </c>
      <c r="AF114" s="19" t="inlineStr">
        <is>
          <t>no</t>
        </is>
      </c>
      <c r="AG114" s="19" t="inlineStr">
        <is>
          <t>Yes</t>
        </is>
      </c>
    </row>
    <row r="115" ht="15" customHeight="1" s="20">
      <c r="A115" s="25" t="inlineStr">
        <is>
          <t>PDT000524034.1</t>
        </is>
      </c>
      <c r="B115" s="25" t="inlineStr">
        <is>
          <t>SAMN11553647</t>
        </is>
      </c>
      <c r="C115" s="25" t="inlineStr">
        <is>
          <t>PRJNA540702</t>
        </is>
      </c>
      <c r="D115" s="25" t="inlineStr">
        <is>
          <t>GCA_006348985.1</t>
        </is>
      </c>
      <c r="E115" s="25" t="inlineStr">
        <is>
          <t>SRR9099603</t>
        </is>
      </c>
      <c r="F115" s="25" t="n"/>
      <c r="G115" s="25" t="inlineStr">
        <is>
          <t>SRA Illumina PE reads</t>
        </is>
      </c>
      <c r="H115" s="25" t="inlineStr">
        <is>
          <t>M49</t>
        </is>
      </c>
      <c r="I115" s="25" t="inlineStr">
        <is>
          <t>Algeria</t>
        </is>
      </c>
      <c r="J115" s="25" t="n"/>
      <c r="K115" s="25" t="inlineStr">
        <is>
          <t>2016</t>
        </is>
      </c>
      <c r="L115" s="25" t="inlineStr">
        <is>
          <t>2016</t>
        </is>
      </c>
      <c r="M115" s="25" t="n"/>
      <c r="N115" s="25" t="inlineStr">
        <is>
          <t>Bathing waters</t>
        </is>
      </c>
      <c r="O115" s="25" t="inlineStr">
        <is>
          <t>Environment</t>
        </is>
      </c>
      <c r="P115" s="25" t="n"/>
      <c r="Q115" s="25" t="n"/>
      <c r="R115" s="25" t="inlineStr">
        <is>
          <t>mcr-1.5</t>
        </is>
      </c>
      <c r="S115" s="25" t="n"/>
      <c r="T115" s="25" t="n"/>
      <c r="U115" s="25" t="n"/>
      <c r="V115" s="25" t="n"/>
      <c r="W115" s="25" t="n">
        <v>195</v>
      </c>
      <c r="X115" s="25" t="n">
        <v>16</v>
      </c>
      <c r="Y115" s="25" t="inlineStr">
        <is>
          <t>aac(3)-IId aadA1 aadA2 aph(3'')-Ib aph(3')-Ia aph(6)-Id blaTEM-1 cmlA1 dfrA14 dfrA1 estX-3 gyrA_S83L mcr-1.5 mph(A) nfsA_V105SfsTer5 sul1 sul3 tet(A)</t>
        </is>
      </c>
      <c r="Z115" s="31" t="n">
        <v>9567</v>
      </c>
      <c r="AA115" s="31" t="inlineStr">
        <is>
          <t>IncI2 (MOB-Recon bin)</t>
        </is>
      </c>
      <c r="AB115" s="31" t="inlineStr">
        <is>
          <t>mcr contig only 2,863 bp; bin assignment is tentative.</t>
        </is>
      </c>
      <c r="AC115" s="25" t="inlineStr">
        <is>
          <t>|mcr-1.5|</t>
        </is>
      </c>
      <c r="AD115" s="19" t="n">
        <v>100</v>
      </c>
      <c r="AE115" s="19" t="n">
        <v>0.21</v>
      </c>
      <c r="AF115" s="19" t="inlineStr">
        <is>
          <t>no</t>
        </is>
      </c>
      <c r="AG115" s="19" t="inlineStr">
        <is>
          <t>Yes</t>
        </is>
      </c>
    </row>
    <row r="116" ht="15" customHeight="1" s="20">
      <c r="A116" s="25" t="inlineStr">
        <is>
          <t>PDT000524033.1</t>
        </is>
      </c>
      <c r="B116" s="25" t="inlineStr">
        <is>
          <t>SAMN11553648</t>
        </is>
      </c>
      <c r="C116" s="25" t="inlineStr">
        <is>
          <t>PRJNA540702</t>
        </is>
      </c>
      <c r="D116" s="25" t="inlineStr">
        <is>
          <t>GCA_006348965.1</t>
        </is>
      </c>
      <c r="E116" s="25" t="inlineStr">
        <is>
          <t>SRR9099604</t>
        </is>
      </c>
      <c r="F116" s="25" t="n"/>
      <c r="G116" s="25" t="inlineStr">
        <is>
          <t>SRA Illumina PE reads</t>
        </is>
      </c>
      <c r="H116" s="25" t="inlineStr">
        <is>
          <t>M78</t>
        </is>
      </c>
      <c r="I116" s="25" t="inlineStr">
        <is>
          <t>Algeria</t>
        </is>
      </c>
      <c r="J116" s="25" t="n"/>
      <c r="K116" s="25" t="inlineStr">
        <is>
          <t>2016</t>
        </is>
      </c>
      <c r="L116" s="25" t="inlineStr">
        <is>
          <t>2016</t>
        </is>
      </c>
      <c r="M116" s="25" t="n"/>
      <c r="N116" s="25" t="inlineStr">
        <is>
          <t>Bathing waters</t>
        </is>
      </c>
      <c r="O116" s="25" t="inlineStr">
        <is>
          <t>Environment</t>
        </is>
      </c>
      <c r="P116" s="25" t="n"/>
      <c r="Q116" s="25" t="n"/>
      <c r="R116" s="25" t="inlineStr">
        <is>
          <t>mcr-1.1</t>
        </is>
      </c>
      <c r="S116" s="25" t="n"/>
      <c r="T116" s="25" t="n"/>
      <c r="U116" s="25" t="n"/>
      <c r="V116" s="25" t="n"/>
      <c r="W116" s="25" t="n">
        <v>197</v>
      </c>
      <c r="X116" s="25" t="n">
        <v>10</v>
      </c>
      <c r="Y116" s="25" t="inlineStr">
        <is>
          <t>aac(3)-IIe aph(3')-Ia blaTEM dfrA14 estX-3 gyrA_D87Y mcr-1.1 mph(A) nfsA_L122QfsTer21 qnrS1 sul3 tet(A)</t>
        </is>
      </c>
      <c r="Z116" s="31" t="n">
        <v>155</v>
      </c>
      <c r="AA116" s="31" t="inlineStr">
        <is>
          <t>IncHI2A/IncI2/IncI-gamma/K1 (MOB-Recon bin, mixed replicons)</t>
        </is>
      </c>
      <c r="AB116" s="31" t="inlineStr">
        <is>
          <t>Reads SRR9099604 failed read QC (151.0 Mb clean bases, about 29.6x, below 30x), so this isolate was typed from its GenBank assembly GCA_006348965.1 (197 contigs, 5.16 Mb, N50 108,253 bp). mcr-1.1 exact match on a 46.5 kb contig with no replicon; MOB-Recon placed it in a plasmid bin holding more than one plasmid family, so the mcr plasmid type is not resolved. The low-depth read assembly gave the same ST155 and mcr-1.1.</t>
        </is>
      </c>
      <c r="AC116" s="25" t="inlineStr">
        <is>
          <t>|mcr-1.1|</t>
        </is>
      </c>
      <c r="AD116" s="19" t="n">
        <v>100</v>
      </c>
      <c r="AE116" s="19" t="n">
        <v>0.51</v>
      </c>
      <c r="AG116" s="19" t="inlineStr">
        <is>
          <t>Yes</t>
        </is>
      </c>
    </row>
    <row r="117" ht="15" customHeight="1" s="20">
      <c r="A117" s="25" t="inlineStr">
        <is>
          <t>PDT000495415.1</t>
        </is>
      </c>
      <c r="B117" s="25" t="inlineStr">
        <is>
          <t>SAMN11388480</t>
        </is>
      </c>
      <c r="C117" s="25" t="inlineStr">
        <is>
          <t>PRJNA508509</t>
        </is>
      </c>
      <c r="D117" s="25" t="inlineStr">
        <is>
          <t>GCA_004803305.1</t>
        </is>
      </c>
      <c r="E117" s="25" t="inlineStr">
        <is>
          <t>SRR8885624</t>
        </is>
      </c>
      <c r="F117" s="25" t="n"/>
      <c r="G117" s="25" t="inlineStr">
        <is>
          <t>SRA Illumina PE reads</t>
        </is>
      </c>
      <c r="H117" s="25" t="inlineStr">
        <is>
          <t>72</t>
        </is>
      </c>
      <c r="I117" s="25" t="inlineStr">
        <is>
          <t>Egypt</t>
        </is>
      </c>
      <c r="J117" s="25" t="inlineStr">
        <is>
          <t>Tanta</t>
        </is>
      </c>
      <c r="K117" s="25" t="n"/>
      <c r="L117" s="25" t="n"/>
      <c r="M117" s="25" t="inlineStr">
        <is>
          <t>Homo sapiens</t>
        </is>
      </c>
      <c r="N117" s="25" t="n"/>
      <c r="O117" s="25" t="inlineStr">
        <is>
          <t>Human</t>
        </is>
      </c>
      <c r="P117" s="25" t="n"/>
      <c r="Q117" s="25" t="inlineStr">
        <is>
          <t>clinical</t>
        </is>
      </c>
      <c r="R117" s="25" t="inlineStr">
        <is>
          <t>mcr-9.2</t>
        </is>
      </c>
      <c r="S117" s="25" t="n"/>
      <c r="T117" s="25" t="inlineStr">
        <is>
          <t>blaCTX-M-15, blaCTX-M-9</t>
        </is>
      </c>
      <c r="U117" s="25" t="inlineStr">
        <is>
          <t>blaVIM-1</t>
        </is>
      </c>
      <c r="V117" s="25" t="n"/>
      <c r="W117" s="25" t="n">
        <v>97</v>
      </c>
      <c r="X117" s="25" t="n">
        <v>22</v>
      </c>
      <c r="Y117" s="25" t="inlineStr">
        <is>
          <t>aac(3)-IId aac(6')-Ib-cr5 aac(6')-Il aadA1 aadA2 ant(2'')-Ia aph(3'')-Ib aph(6)-Id blaCMY-2 blaCTX-M-15 blaCTX-M-9 blaOXA-1 blaTEM-1 blaVIM-1 catB3 dfrA12 dfrA1 ftsI_N337NYRIN gyrA_D87N gyrA_S83L mcr-9.2 mph(A) ompC_R195L parC_S80I parE_S458A sul1 sul2 tet(B)</t>
        </is>
      </c>
      <c r="Z117" s="31" t="n">
        <v>410</v>
      </c>
      <c r="AA117" s="31" t="inlineStr">
        <is>
          <t>IncFII/IncFIB/IncFIA (MOB-Recon bin)</t>
        </is>
      </c>
      <c r="AB117" s="31" t="n"/>
      <c r="AC117" s="25" t="inlineStr">
        <is>
          <t>|mcr-9.2|</t>
        </is>
      </c>
      <c r="AD117" s="19" t="n">
        <v>100</v>
      </c>
      <c r="AE117" s="19" t="n">
        <v>0.22</v>
      </c>
      <c r="AF117" s="19" t="inlineStr">
        <is>
          <t>no</t>
        </is>
      </c>
      <c r="AG117" s="19" t="inlineStr">
        <is>
          <t>Yes</t>
        </is>
      </c>
    </row>
    <row r="118" ht="15" customHeight="1" s="20">
      <c r="A118" s="25" t="inlineStr">
        <is>
          <t>PDT000484736.1</t>
        </is>
      </c>
      <c r="B118" s="25" t="inlineStr">
        <is>
          <t>SAMN10986381</t>
        </is>
      </c>
      <c r="C118" s="25" t="inlineStr">
        <is>
          <t>PRJNA523709</t>
        </is>
      </c>
      <c r="D118" s="25" t="inlineStr">
        <is>
          <t>GCA_004526255.1</t>
        </is>
      </c>
      <c r="E118" s="25" t="inlineStr">
        <is>
          <t>SRR8610346</t>
        </is>
      </c>
      <c r="F118" s="25" t="inlineStr">
        <is>
          <t>SRR9001943</t>
        </is>
      </c>
      <c r="G118" s="25" t="inlineStr">
        <is>
          <t>SRA Illumina PE reads</t>
        </is>
      </c>
      <c r="H118" s="25" t="inlineStr">
        <is>
          <t>2 HS-C</t>
        </is>
      </c>
      <c r="I118" s="25" t="inlineStr">
        <is>
          <t>Tanzania</t>
        </is>
      </c>
      <c r="J118" s="25" t="n"/>
      <c r="K118" s="25" t="inlineStr">
        <is>
          <t>2018</t>
        </is>
      </c>
      <c r="L118" s="25" t="inlineStr">
        <is>
          <t>2018-06</t>
        </is>
      </c>
      <c r="M118" s="25" t="inlineStr">
        <is>
          <t>Homo sapiens</t>
        </is>
      </c>
      <c r="N118" s="25" t="n"/>
      <c r="O118" s="25" t="inlineStr">
        <is>
          <t>Human</t>
        </is>
      </c>
      <c r="P118" s="25" t="n"/>
      <c r="Q118" s="25" t="inlineStr">
        <is>
          <t>clinical</t>
        </is>
      </c>
      <c r="R118" s="25" t="inlineStr">
        <is>
          <t>mcr-1.1</t>
        </is>
      </c>
      <c r="S118" s="25" t="n"/>
      <c r="T118" s="25" t="n"/>
      <c r="U118" s="25" t="n"/>
      <c r="V118" s="25" t="n"/>
      <c r="W118" s="25" t="n">
        <v>3</v>
      </c>
      <c r="X118" s="25" t="n">
        <v>10</v>
      </c>
      <c r="Y118" s="25" t="inlineStr">
        <is>
          <t>aadA5 acrR_R192AfsTer52 aph(3'')-Ib aph(6)-Id blaTEM-1 dfrA17 gyrA_D87N gyrA_S83L mcr-1.1 mph(A) parC_S80I parE_S458A sul1 sul2 tet(A)</t>
        </is>
      </c>
      <c r="Z118" s="31" t="n">
        <v>46</v>
      </c>
      <c r="AA118" s="31" t="inlineStr">
        <is>
          <t>IncX4</t>
        </is>
      </c>
      <c r="AB118" s="31" t="n"/>
      <c r="AC118" s="25" t="inlineStr">
        <is>
          <t>|mcr-1.1|</t>
        </is>
      </c>
      <c r="AD118" s="19" t="n">
        <v>100</v>
      </c>
      <c r="AE118" s="19" t="n">
        <v>0.02</v>
      </c>
      <c r="AF118" s="19" t="inlineStr">
        <is>
          <t>no</t>
        </is>
      </c>
      <c r="AG118" s="19" t="inlineStr">
        <is>
          <t>Yes</t>
        </is>
      </c>
    </row>
    <row r="119" ht="15" customHeight="1" s="20">
      <c r="A119" s="25" t="inlineStr">
        <is>
          <t>PDT000238072.2</t>
        </is>
      </c>
      <c r="B119" s="25" t="inlineStr">
        <is>
          <t>SAMN06928086</t>
        </is>
      </c>
      <c r="C119" s="25" t="inlineStr">
        <is>
          <t>PRJNA230969</t>
        </is>
      </c>
      <c r="D119" s="25" t="inlineStr">
        <is>
          <t>GCA_002278115.2</t>
        </is>
      </c>
      <c r="E119" s="25" t="inlineStr">
        <is>
          <t>SRR5688555</t>
        </is>
      </c>
      <c r="F119" s="25" t="n"/>
      <c r="G119" s="25" t="inlineStr">
        <is>
          <t>SRA Illumina PE reads</t>
        </is>
      </c>
      <c r="H119" s="25" t="inlineStr">
        <is>
          <t>CFSAN061770</t>
        </is>
      </c>
      <c r="I119" s="25" t="inlineStr">
        <is>
          <t>Egypt</t>
        </is>
      </c>
      <c r="J119" s="25" t="n"/>
      <c r="K119" s="25" t="inlineStr">
        <is>
          <t>2016</t>
        </is>
      </c>
      <c r="L119" s="25" t="inlineStr">
        <is>
          <t>2016</t>
        </is>
      </c>
      <c r="M119" s="25" t="n"/>
      <c r="N119" s="25" t="inlineStr">
        <is>
          <t>raw milk cheese</t>
        </is>
      </c>
      <c r="O119" s="25" t="inlineStr">
        <is>
          <t>Food (non-poultry)</t>
        </is>
      </c>
      <c r="P119" s="25" t="n"/>
      <c r="Q119" s="25" t="inlineStr">
        <is>
          <t>environmental/other</t>
        </is>
      </c>
      <c r="R119" s="25" t="inlineStr">
        <is>
          <t>mcr-1.1</t>
        </is>
      </c>
      <c r="S119" s="25" t="n"/>
      <c r="T119" s="25" t="n"/>
      <c r="U119" s="25" t="n"/>
      <c r="V119" s="25" t="n"/>
      <c r="W119" s="25" t="n">
        <v>4</v>
      </c>
      <c r="X119" s="25" t="n">
        <v>18</v>
      </c>
      <c r="Y119" s="25" t="inlineStr">
        <is>
          <t>aac(3)-IId aac(3)-IIe aac(3)-IIe aadA1 aadA2 aadA5 aph(3'')-Ib aph(3')-Ia aph(6)-Id blaTEM-1 cmlA1 cyaA_S352T dfrA17 estX-3 floR gyrA_D87N gyrA_S83L mcr-1.1 parC_S80I sul2 sul3 tet(A)</t>
        </is>
      </c>
      <c r="Z119" s="31" t="n">
        <v>69</v>
      </c>
      <c r="AA119" s="31" t="inlineStr">
        <is>
          <t>IncHI2A/IncQ1 (MOB-Recon bin)</t>
        </is>
      </c>
      <c r="AB119" s="31" t="n"/>
      <c r="AC119" s="25" t="inlineStr">
        <is>
          <t>|mcr-1.1|</t>
        </is>
      </c>
      <c r="AD119" s="19" t="n">
        <v>100</v>
      </c>
      <c r="AE119" s="19" t="n">
        <v>0.49</v>
      </c>
      <c r="AF119" s="19" t="inlineStr">
        <is>
          <t>yes</t>
        </is>
      </c>
      <c r="AG119" s="19" t="inlineStr">
        <is>
          <t>Yes</t>
        </is>
      </c>
    </row>
    <row r="120">
      <c r="A120" s="19" t="inlineStr">
        <is>
          <t>PDT003089299.1</t>
        </is>
      </c>
      <c r="B120" s="19" t="inlineStr">
        <is>
          <t>SAMEA120683848</t>
        </is>
      </c>
      <c r="C120" s="19" t="inlineStr">
        <is>
          <t>PRJEB104706</t>
        </is>
      </c>
      <c r="D120" s="19" t="inlineStr">
        <is>
          <t>GCA_977857845.1</t>
        </is>
      </c>
      <c r="G120" s="19" t="inlineStr">
        <is>
          <t>GenBank assembly (no reads)</t>
        </is>
      </c>
      <c r="I120" s="19" t="inlineStr">
        <is>
          <t>Central African Republic</t>
        </is>
      </c>
      <c r="K120" s="19" t="n">
        <v>2022</v>
      </c>
      <c r="L120" s="19" t="inlineStr">
        <is>
          <t>2022</t>
        </is>
      </c>
      <c r="M120" s="19" t="inlineStr">
        <is>
          <t>Homo sapiens</t>
        </is>
      </c>
      <c r="O120" s="19" t="inlineStr">
        <is>
          <t>Human</t>
        </is>
      </c>
      <c r="Q120" s="19" t="inlineStr">
        <is>
          <t>clinical</t>
        </is>
      </c>
      <c r="R120" s="19" t="inlineStr">
        <is>
          <t>mcr-1.1</t>
        </is>
      </c>
      <c r="T120" s="19" t="inlineStr">
        <is>
          <t>blaCTX-M-55</t>
        </is>
      </c>
      <c r="X120" s="19" t="n">
        <v>11</v>
      </c>
      <c r="Y120" s="19" t="inlineStr">
        <is>
          <t>aadA1 aadA2 aph(3')-Ia blaCTX-M-55 cmlA1 dfrA12 gyrA_D87N gyrA_S83L mcr-1.1 parC_S80I qnrS13 sul3 tet(A) tet(M)</t>
        </is>
      </c>
      <c r="Z120" s="19" t="n">
        <v>226</v>
      </c>
      <c r="AA120" s="19" t="inlineStr">
        <is>
          <t>IncX4</t>
        </is>
      </c>
      <c r="AB120" s="19" t="inlineStr">
        <is>
          <t>Added by the corrected retrieval (v2). mcr-1.1 and IncX4 on the same 32.7 kb contig.</t>
        </is>
      </c>
      <c r="AC120" s="19" t="inlineStr">
        <is>
          <t>|mcr-1.1|</t>
        </is>
      </c>
      <c r="AD120" s="19" t="n">
        <v>100</v>
      </c>
      <c r="AE120" s="19" t="n">
        <v>0.22</v>
      </c>
      <c r="AF120" s="19" t="inlineStr">
        <is>
          <t>no</t>
        </is>
      </c>
      <c r="AG120" s="19" t="inlineStr">
        <is>
          <t>Yes</t>
        </is>
      </c>
    </row>
    <row r="121">
      <c r="A121" s="19" t="inlineStr">
        <is>
          <t>PDT003089301.1</t>
        </is>
      </c>
      <c r="B121" s="19" t="inlineStr">
        <is>
          <t>SAMEA120683850</t>
        </is>
      </c>
      <c r="C121" s="19" t="inlineStr">
        <is>
          <t>PRJEB104706</t>
        </is>
      </c>
      <c r="D121" s="19" t="inlineStr">
        <is>
          <t>GCA_977859995.1</t>
        </is>
      </c>
      <c r="G121" s="19" t="inlineStr">
        <is>
          <t>GenBank assembly (no reads)</t>
        </is>
      </c>
      <c r="I121" s="19" t="inlineStr">
        <is>
          <t>Central African Republic</t>
        </is>
      </c>
      <c r="K121" s="19" t="n">
        <v>2022</v>
      </c>
      <c r="L121" s="19" t="inlineStr">
        <is>
          <t>2022</t>
        </is>
      </c>
      <c r="M121" s="19" t="inlineStr">
        <is>
          <t>Homo sapiens</t>
        </is>
      </c>
      <c r="O121" s="19" t="inlineStr">
        <is>
          <t>Human</t>
        </is>
      </c>
      <c r="Q121" s="19" t="inlineStr">
        <is>
          <t>clinical</t>
        </is>
      </c>
      <c r="R121" s="19" t="inlineStr">
        <is>
          <t>mcr-1.1</t>
        </is>
      </c>
      <c r="T121" s="19" t="inlineStr">
        <is>
          <t>blaCTX-M-55</t>
        </is>
      </c>
      <c r="X121" s="19" t="n">
        <v>18</v>
      </c>
      <c r="Y121" s="19" t="inlineStr">
        <is>
          <t>aadA1 aadA2 aph(3'')-Ib aph(3')-Ia aph(6)-Id blaCTX-M-55 cmlA1 dfrA12 erm(B) gyrA_D87N gyrA_S83L mcr-1.1 mph(A) parC_S80I qnrS13 sul1 sul2 sul3 tet(A) tet(B) tet(M)</t>
        </is>
      </c>
      <c r="Z121" s="19" t="n">
        <v>226</v>
      </c>
      <c r="AA121" s="19" t="inlineStr">
        <is>
          <t>IncX4</t>
        </is>
      </c>
      <c r="AB121" s="19" t="inlineStr">
        <is>
          <t>Added by the corrected retrieval (v2). Same ST and replicon as SAMEA120683848, same submission.</t>
        </is>
      </c>
      <c r="AC121" s="19" t="inlineStr">
        <is>
          <t>|mcr-1.1|</t>
        </is>
      </c>
      <c r="AD121" s="19" t="n">
        <v>100</v>
      </c>
      <c r="AE121" s="19" t="n">
        <v>0.68</v>
      </c>
      <c r="AF121" s="19" t="inlineStr">
        <is>
          <t>no</t>
        </is>
      </c>
      <c r="AG121" s="19" t="inlineStr">
        <is>
          <t>Yes</t>
        </is>
      </c>
    </row>
    <row r="122">
      <c r="A122" s="19" t="inlineStr">
        <is>
          <t>PDT000640376.1</t>
        </is>
      </c>
      <c r="B122" s="19" t="inlineStr">
        <is>
          <t>SAMEA5988742</t>
        </is>
      </c>
      <c r="C122" s="19" t="inlineStr">
        <is>
          <t>PRJEB34702</t>
        </is>
      </c>
      <c r="D122" s="19" t="inlineStr">
        <is>
          <t>GCA_902703155.1</t>
        </is>
      </c>
      <c r="G122" s="19" t="inlineStr">
        <is>
          <t>GenBank assembly (no reads)</t>
        </is>
      </c>
      <c r="H122" s="19" t="inlineStr">
        <is>
          <t>Eco04570</t>
        </is>
      </c>
      <c r="I122" s="19" t="inlineStr">
        <is>
          <t>South Africa</t>
        </is>
      </c>
      <c r="K122" s="19" t="n">
        <v>2016</v>
      </c>
      <c r="L122" s="19" t="inlineStr">
        <is>
          <t>2016</t>
        </is>
      </c>
      <c r="M122" s="19" t="inlineStr">
        <is>
          <t>Homo sapiens</t>
        </is>
      </c>
      <c r="N122" s="19" t="inlineStr">
        <is>
          <t>clinical material</t>
        </is>
      </c>
      <c r="O122" s="19" t="inlineStr">
        <is>
          <t>Human</t>
        </is>
      </c>
      <c r="Q122" s="19" t="inlineStr">
        <is>
          <t>clinical</t>
        </is>
      </c>
      <c r="R122" s="19" t="inlineStr">
        <is>
          <t>mcr-1.1</t>
        </is>
      </c>
      <c r="X122" s="19" t="n">
        <v>9</v>
      </c>
      <c r="Y122" s="19" t="inlineStr">
        <is>
          <t>aph(3'')-Ib=PARTIAL_END_OF_CONTIG aph(6)-Id bleO dfrA14 gyrA_S83L mcr-1.1 oqxA oqxB sul2 tet(B)</t>
        </is>
      </c>
      <c r="Z122" s="19" t="n">
        <v>602</v>
      </c>
      <c r="AA122" s="19" t="inlineStr">
        <is>
          <t>IncI2</t>
        </is>
      </c>
      <c r="AB122" s="19" t="inlineStr">
        <is>
          <t>Added by the corrected retrieval (v2). mcr-1.1 and IncI2 on the same 56.2 kb contig.</t>
        </is>
      </c>
      <c r="AC122" s="19" t="inlineStr">
        <is>
          <t>|mcr-1.1|</t>
        </is>
      </c>
      <c r="AD122" s="19" t="n">
        <v>100</v>
      </c>
      <c r="AE122" s="19" t="n">
        <v>0.16</v>
      </c>
      <c r="AF122" s="19" t="inlineStr">
        <is>
          <t>no</t>
        </is>
      </c>
      <c r="AG122" s="19" t="inlineStr">
        <is>
          <t>Yes</t>
        </is>
      </c>
    </row>
    <row r="123">
      <c r="A123" s="19" t="inlineStr">
        <is>
          <t>PDT000409988.1</t>
        </is>
      </c>
      <c r="B123" s="19" t="inlineStr">
        <is>
          <t>SAMN09303237</t>
        </is>
      </c>
      <c r="C123" s="19" t="inlineStr">
        <is>
          <t>PRJNA412434</t>
        </is>
      </c>
      <c r="D123" s="19" t="inlineStr">
        <is>
          <t>GCA_003795445.1</t>
        </is>
      </c>
      <c r="G123" s="19" t="inlineStr">
        <is>
          <t>GenBank assembly (no reads)</t>
        </is>
      </c>
      <c r="H123" s="19" t="inlineStr">
        <is>
          <t>PN256E8</t>
        </is>
      </c>
      <c r="I123" s="19" t="inlineStr">
        <is>
          <t>South Africa</t>
        </is>
      </c>
      <c r="K123" s="19" t="n">
        <v>2016</v>
      </c>
      <c r="L123" s="19" t="inlineStr">
        <is>
          <t>2016-10</t>
        </is>
      </c>
      <c r="M123" s="19" t="inlineStr">
        <is>
          <t>pig</t>
        </is>
      </c>
      <c r="N123" s="19" t="inlineStr">
        <is>
          <t>nares</t>
        </is>
      </c>
      <c r="O123" s="19" t="inlineStr">
        <is>
          <t>Other animal</t>
        </is>
      </c>
      <c r="Q123" s="19" t="inlineStr">
        <is>
          <t>clinical</t>
        </is>
      </c>
      <c r="R123" s="19" t="inlineStr">
        <is>
          <t>mcr-1.1</t>
        </is>
      </c>
      <c r="T123" s="19" t="inlineStr">
        <is>
          <t>blaCTX-M-55</t>
        </is>
      </c>
      <c r="X123" s="19" t="n">
        <v>14</v>
      </c>
      <c r="Y123" s="19" t="inlineStr">
        <is>
          <t>aac(6')-Ib3 aadA5 aph(6)-Id=PARTIAL_END_OF_CONTIG blaCTX-M-55 blaTEM=PARTIAL bleO dfrA17 floR fosA3 mcr-1.1 oqxA oqxB sul2 tet(A)</t>
        </is>
      </c>
      <c r="Z123" s="19" t="n">
        <v>9440</v>
      </c>
      <c r="AA123" s="19" t="inlineStr">
        <is>
          <t>IncHI2A (MOB-Recon bin)</t>
        </is>
      </c>
      <c r="AB123" s="19" t="inlineStr">
        <is>
          <t>Added by the corrected retrieval (v2). Pig nasal isolate; mcr contig 2.9 kb, IncHI2 from MOB-Recon bin only.</t>
        </is>
      </c>
      <c r="AC123" s="19" t="inlineStr">
        <is>
          <t>|mcr-1.1|</t>
        </is>
      </c>
      <c r="AD123" s="19" t="n">
        <v>100</v>
      </c>
      <c r="AE123" s="19" t="n">
        <v>0.47</v>
      </c>
      <c r="AF123" s="19" t="inlineStr">
        <is>
          <t>no</t>
        </is>
      </c>
      <c r="AG123" s="19" t="inlineStr">
        <is>
          <t>Yes</t>
        </is>
      </c>
    </row>
    <row r="124">
      <c r="A124" s="19" t="inlineStr">
        <is>
          <t>PDT000878268.1</t>
        </is>
      </c>
      <c r="B124" s="19" t="inlineStr">
        <is>
          <t>SAMN14219481</t>
        </is>
      </c>
      <c r="C124" s="19" t="inlineStr">
        <is>
          <t>PRJNA609073</t>
        </is>
      </c>
      <c r="D124" s="19" t="inlineStr">
        <is>
          <t>GCA_015208565.1</t>
        </is>
      </c>
      <c r="G124" s="19" t="inlineStr">
        <is>
          <t>GenBank assembly (no reads)</t>
        </is>
      </c>
      <c r="H124" s="19" t="inlineStr">
        <is>
          <t>D96_9</t>
        </is>
      </c>
      <c r="I124" s="19" t="inlineStr">
        <is>
          <t>South Africa</t>
        </is>
      </c>
      <c r="K124" s="19" t="n">
        <v>2018</v>
      </c>
      <c r="L124" s="19" t="inlineStr">
        <is>
          <t>2018-09-11</t>
        </is>
      </c>
      <c r="N124" s="19" t="inlineStr">
        <is>
          <t>wastewater</t>
        </is>
      </c>
      <c r="O124" s="19" t="inlineStr">
        <is>
          <t>Environment</t>
        </is>
      </c>
      <c r="Q124" s="19" t="inlineStr">
        <is>
          <t>environmental/other</t>
        </is>
      </c>
      <c r="R124" s="19" t="inlineStr">
        <is>
          <t>mcr-9</t>
        </is>
      </c>
      <c r="X124" s="19" t="n">
        <v>3</v>
      </c>
      <c r="Y124" s="19" t="inlineStr">
        <is>
          <t>blaTEM-1 cyaA_S352T mcr-9=PARTIAL_END_OF_CONTIG tet(A)</t>
        </is>
      </c>
      <c r="Z124" s="19" t="n">
        <v>69</v>
      </c>
      <c r="AA124" s="19" t="inlineStr">
        <is>
          <t>Chromosomal or unresolved (MOB-Recon)</t>
        </is>
      </c>
      <c r="AB124" s="19" t="inlineStr">
        <is>
          <t>Added by the corrected retrieval (v2). Wastewater mcr-9 on a 2.6 kb contig placed in the chromosome bin; unresolved.</t>
        </is>
      </c>
      <c r="AC124" s="19" t="inlineStr">
        <is>
          <t>|mcr-9|</t>
        </is>
      </c>
      <c r="AD124" s="19" t="n">
        <v>100</v>
      </c>
      <c r="AE124" s="19" t="n">
        <v>6</v>
      </c>
      <c r="AF124" s="19" t="inlineStr">
        <is>
          <t>no</t>
        </is>
      </c>
      <c r="AG124" s="19" t="inlineStr">
        <is>
          <t>No</t>
        </is>
      </c>
      <c r="AH124" s="19" t="inlineStr">
        <is>
          <t>CheckM2 contamination 6.00%, above the 5% ceiling stated in the Methods</t>
        </is>
      </c>
    </row>
    <row r="125">
      <c r="A125" s="19" t="inlineStr">
        <is>
          <t>PDT001428169.1</t>
        </is>
      </c>
      <c r="B125" s="19" t="inlineStr">
        <is>
          <t>SAMN28613555</t>
        </is>
      </c>
      <c r="C125" s="19" t="inlineStr">
        <is>
          <t>PRJNA841695</t>
        </is>
      </c>
      <c r="D125" s="19" t="inlineStr">
        <is>
          <t>GCA_025336805.1</t>
        </is>
      </c>
      <c r="G125" s="19" t="inlineStr">
        <is>
          <t>GenBank assembly (no reads)</t>
        </is>
      </c>
      <c r="H125" s="19" t="inlineStr">
        <is>
          <t>Q0169</t>
        </is>
      </c>
      <c r="I125" s="19" t="inlineStr">
        <is>
          <t>Democratic Republic of the Congo</t>
        </is>
      </c>
      <c r="K125" s="19" t="n">
        <v>2017</v>
      </c>
      <c r="L125" s="19" t="inlineStr">
        <is>
          <t>2017-08</t>
        </is>
      </c>
      <c r="M125" s="19" t="inlineStr">
        <is>
          <t>Papio cynocephalus</t>
        </is>
      </c>
      <c r="N125" s="19" t="inlineStr">
        <is>
          <t>fecal samples</t>
        </is>
      </c>
      <c r="O125" s="19" t="inlineStr">
        <is>
          <t>Other animal</t>
        </is>
      </c>
      <c r="R125" s="19" t="inlineStr">
        <is>
          <t>mcr-1.1</t>
        </is>
      </c>
      <c r="X125" s="19" t="n">
        <v>2</v>
      </c>
      <c r="Y125" s="19" t="inlineStr">
        <is>
          <t>blaTEM-1 cyaA_S352T mcr-1.1</t>
        </is>
      </c>
      <c r="Z125" s="19" t="n">
        <v>69</v>
      </c>
      <c r="AA125" s="19" t="inlineStr">
        <is>
          <t>Plasmid, no replicon detected (MOB-Recon)</t>
        </is>
      </c>
      <c r="AB125" s="19" t="inlineStr">
        <is>
          <t>Added by the corrected retrieval (v2). Wild baboon faeces; 2.5 kb mcr contig in a plasmid bin with no typeable replicon.</t>
        </is>
      </c>
      <c r="AC125" s="19" t="inlineStr">
        <is>
          <t>|mcr-1.1|</t>
        </is>
      </c>
      <c r="AD125" s="19" t="n">
        <v>100</v>
      </c>
      <c r="AE125" s="19" t="n">
        <v>0.09</v>
      </c>
      <c r="AF125" s="19" t="inlineStr">
        <is>
          <t>no</t>
        </is>
      </c>
      <c r="AG125" s="19" t="inlineStr">
        <is>
          <t>Yes</t>
        </is>
      </c>
    </row>
    <row r="126">
      <c r="A126" s="19" t="inlineStr">
        <is>
          <t>PDT001428170.1</t>
        </is>
      </c>
      <c r="B126" s="19" t="inlineStr">
        <is>
          <t>SAMN28613556</t>
        </is>
      </c>
      <c r="C126" s="19" t="inlineStr">
        <is>
          <t>PRJNA841695</t>
        </is>
      </c>
      <c r="D126" s="19" t="inlineStr">
        <is>
          <t>GCA_025336825.1</t>
        </is>
      </c>
      <c r="G126" s="19" t="inlineStr">
        <is>
          <t>GenBank assembly (no reads)</t>
        </is>
      </c>
      <c r="H126" s="19" t="inlineStr">
        <is>
          <t>Q0170</t>
        </is>
      </c>
      <c r="I126" s="19" t="inlineStr">
        <is>
          <t>Democratic Republic of the Congo</t>
        </is>
      </c>
      <c r="K126" s="19" t="n">
        <v>2017</v>
      </c>
      <c r="L126" s="19" t="inlineStr">
        <is>
          <t>2017-08</t>
        </is>
      </c>
      <c r="M126" s="19" t="inlineStr">
        <is>
          <t>Papio cynocephalus</t>
        </is>
      </c>
      <c r="N126" s="19" t="inlineStr">
        <is>
          <t>fecal samples</t>
        </is>
      </c>
      <c r="O126" s="19" t="inlineStr">
        <is>
          <t>Other animal</t>
        </is>
      </c>
      <c r="R126" s="19" t="inlineStr">
        <is>
          <t>mcr-1.1</t>
        </is>
      </c>
      <c r="X126" s="19" t="n">
        <v>12</v>
      </c>
      <c r="Y126" s="19" t="inlineStr">
        <is>
          <t>aadA1 aph(3'')-Ib aph(6)-Id blaTEM-1 catA1 cirA_N81TerfsTer0 dfrA1 gyrA_S83L mcr-1.1 mph(B) rdmCL sul1 sul2 tet(A)</t>
        </is>
      </c>
      <c r="Z126" s="19" t="n">
        <v>101</v>
      </c>
      <c r="AA126" s="19" t="inlineStr">
        <is>
          <t>IncI2</t>
        </is>
      </c>
      <c r="AB126" s="19" t="inlineStr">
        <is>
          <t>Added by the corrected retrieval (v2). Wild baboon faeces; mcr-1.1 and IncI2 on the same 66.5 kb contig.</t>
        </is>
      </c>
      <c r="AC126" s="19" t="inlineStr">
        <is>
          <t>|mcr-1.1|</t>
        </is>
      </c>
      <c r="AD126" s="19" t="n">
        <v>100</v>
      </c>
      <c r="AE126" s="19" t="n">
        <v>0.76</v>
      </c>
      <c r="AF126" s="19" t="inlineStr">
        <is>
          <t>yes</t>
        </is>
      </c>
      <c r="AG126" s="19" t="inlineStr">
        <is>
          <t>Yes</t>
        </is>
      </c>
    </row>
    <row r="127">
      <c r="A127" s="19" t="inlineStr">
        <is>
          <t>PDT002034360.1</t>
        </is>
      </c>
      <c r="B127" s="19" t="inlineStr">
        <is>
          <t>SAMN36943049</t>
        </is>
      </c>
      <c r="C127" s="19" t="inlineStr">
        <is>
          <t>PRJNA999080</t>
        </is>
      </c>
      <c r="D127" s="19" t="inlineStr">
        <is>
          <t>GCA_034465125.1</t>
        </is>
      </c>
      <c r="E127" s="19" t="inlineStr">
        <is>
          <t>SRR25608269</t>
        </is>
      </c>
      <c r="G127" s="19" t="inlineStr">
        <is>
          <t>Short-read assembly (Shovill)</t>
        </is>
      </c>
      <c r="H127" s="19" t="inlineStr">
        <is>
          <t>R2745-Af49</t>
        </is>
      </c>
      <c r="I127" s="19" t="inlineStr">
        <is>
          <t>South Africa</t>
        </is>
      </c>
      <c r="K127" s="19" t="n">
        <v>2015</v>
      </c>
      <c r="L127" s="19" t="inlineStr">
        <is>
          <t>2015</t>
        </is>
      </c>
      <c r="M127" s="19" t="inlineStr">
        <is>
          <t>Homo sapiens</t>
        </is>
      </c>
      <c r="O127" s="19" t="inlineStr">
        <is>
          <t>Human</t>
        </is>
      </c>
      <c r="Q127" s="19" t="inlineStr">
        <is>
          <t>clinical</t>
        </is>
      </c>
      <c r="R127" s="19" t="inlineStr">
        <is>
          <t>mcr-1.1</t>
        </is>
      </c>
      <c r="S127" s="19" t="inlineStr">
        <is>
          <t>yes</t>
        </is>
      </c>
      <c r="T127" s="19" t="inlineStr">
        <is>
          <t>blaCTX-M-55</t>
        </is>
      </c>
      <c r="X127" s="19" t="n">
        <v>11</v>
      </c>
      <c r="Y127" s="19" t="inlineStr">
        <is>
          <t>aac(6')-Ib3 aadA1 blaCTX-M-55 blaTEM=PARTIAL blaTEM=PARTIAL_END_OF_CONTIG cirA_D84IfsTer16 dfrA15 floR fosA3 gyrA_D87N gyrA_S83L mcr-1.1 parC_S80I sul1 sul2 tet(A) tet(A)=PARTIAL_END_OF_CONTIG</t>
        </is>
      </c>
      <c r="Z127" s="19" t="n">
        <v>226</v>
      </c>
      <c r="AA127" s="19" t="inlineStr">
        <is>
          <t>IncHI2A/IncFIB (MOB-Recon bin, mixed replicons)</t>
        </is>
      </c>
      <c r="AB127" s="19" t="inlineStr">
        <is>
          <t>Added by the corrected retrieval (v2). Two mcr-1.1 calls on 2.6 kb and 2.7 kb contigs, one chromosome-binned and one in a mixed IncFIB/IncHI2A bin; counted once as unresolved.</t>
        </is>
      </c>
      <c r="AC127" s="19" t="inlineStr">
        <is>
          <t>|mcr-1.1|</t>
        </is>
      </c>
      <c r="AD127" s="19" t="n">
        <v>100</v>
      </c>
      <c r="AE127" s="19" t="n">
        <v>1.43</v>
      </c>
      <c r="AF127" s="19" t="inlineStr">
        <is>
          <t>no</t>
        </is>
      </c>
      <c r="AG127" s="19" t="inlineStr">
        <is>
          <t>Yes</t>
        </is>
      </c>
    </row>
    <row r="128">
      <c r="A128" s="19" t="inlineStr">
        <is>
          <t>PDT003000705.1</t>
        </is>
      </c>
      <c r="B128" s="19" t="inlineStr">
        <is>
          <t>SAMN49772998</t>
        </is>
      </c>
      <c r="C128" s="19" t="inlineStr">
        <is>
          <t>PRJNA642017</t>
        </is>
      </c>
      <c r="D128" s="19" t="inlineStr">
        <is>
          <t>GCA_053709775.1</t>
        </is>
      </c>
      <c r="G128" s="19" t="inlineStr">
        <is>
          <t>GenBank assembly (no reads)</t>
        </is>
      </c>
      <c r="H128" s="19" t="inlineStr">
        <is>
          <t>UPMP1740</t>
        </is>
      </c>
      <c r="I128" s="19" t="inlineStr">
        <is>
          <t>South Africa</t>
        </is>
      </c>
      <c r="K128" s="19" t="n">
        <v>2019</v>
      </c>
      <c r="L128" s="19" t="inlineStr">
        <is>
          <t>2019</t>
        </is>
      </c>
      <c r="N128" s="19" t="inlineStr">
        <is>
          <t>cucumber</t>
        </is>
      </c>
      <c r="O128" s="19" t="inlineStr">
        <is>
          <t>Food (non-poultry)</t>
        </is>
      </c>
      <c r="R128" s="19" t="inlineStr">
        <is>
          <t>mcr-9.1</t>
        </is>
      </c>
      <c r="T128" s="19" t="inlineStr">
        <is>
          <t>blaCTX-M-14</t>
        </is>
      </c>
      <c r="X128" s="19" t="n">
        <v>3</v>
      </c>
      <c r="Y128" s="19" t="inlineStr">
        <is>
          <t>blaCTX-M-14 fosA3 mcr-9.1</t>
        </is>
      </c>
      <c r="Z128" s="19" t="n">
        <v>297</v>
      </c>
      <c r="AA128" s="19" t="inlineStr">
        <is>
          <t>Chromosomal or unresolved (MOB-Recon)</t>
        </is>
      </c>
      <c r="AB128" s="19" t="inlineStr">
        <is>
          <t>Added by the corrected retrieval (v2). Cucumber isolate; mcr-9.1 on a 3.5 kb contig placed in the chromosome bin; unresolved.</t>
        </is>
      </c>
      <c r="AC128" s="19" t="inlineStr">
        <is>
          <t>|mcr-9.1|</t>
        </is>
      </c>
      <c r="AD128" s="19" t="n">
        <v>100</v>
      </c>
      <c r="AE128" s="19" t="n">
        <v>3.64</v>
      </c>
      <c r="AF128" s="19" t="inlineStr">
        <is>
          <t>no</t>
        </is>
      </c>
      <c r="AG128" s="19" t="inlineStr">
        <is>
          <t>Yes</t>
        </is>
      </c>
    </row>
  </sheetData>
  <autoFilter ref="A1:AC1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4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19" min="1" max="1"/>
    <col width="16" customWidth="1" style="19" min="2" max="2"/>
    <col width="22" customWidth="1" style="19" min="3" max="3"/>
    <col width="9" customWidth="1" style="19" min="4" max="4"/>
    <col width="11" customWidth="1" style="19" min="5" max="5"/>
    <col width="18" customWidth="1" style="19" min="6" max="6"/>
    <col width="16" customWidth="1" style="19" min="7" max="7"/>
    <col width="38" customWidth="1" style="19" min="8" max="8"/>
  </cols>
  <sheetData>
    <row r="1" ht="15" customHeight="1" s="20">
      <c r="A1" s="32" t="inlineStr">
        <is>
          <t>Run</t>
        </is>
      </c>
      <c r="B1" s="32" t="inlineStr">
        <is>
          <t>BioSample</t>
        </is>
      </c>
      <c r="C1" s="32" t="inlineStr">
        <is>
          <t>Platform</t>
        </is>
      </c>
      <c r="D1" s="32" t="inlineStr">
        <is>
          <t>Layout</t>
        </is>
      </c>
      <c r="E1" s="32" t="inlineStr">
        <is>
          <t>Country</t>
        </is>
      </c>
      <c r="F1" s="32" t="inlineStr">
        <is>
          <t>Sector (derived)</t>
        </is>
      </c>
      <c r="G1" s="32" t="inlineStr">
        <is>
          <t>mcr variant(s)</t>
        </is>
      </c>
      <c r="H1" s="32" t="inlineStr">
        <is>
          <t>Use</t>
        </is>
      </c>
    </row>
    <row r="2" ht="15" customHeight="1" s="20">
      <c r="A2" s="25" t="inlineStr">
        <is>
          <t>ERR13133321</t>
        </is>
      </c>
      <c r="B2" s="25" t="inlineStr">
        <is>
          <t>SAMEA115598817</t>
        </is>
      </c>
      <c r="C2" s="25" t="inlineStr">
        <is>
          <t>Illumina MiSeq</t>
        </is>
      </c>
      <c r="D2" s="25" t="inlineStr">
        <is>
          <t>PAIRED</t>
        </is>
      </c>
      <c r="E2" s="25" t="inlineStr">
        <is>
          <t>Egypt</t>
        </is>
      </c>
      <c r="F2" s="25" t="inlineStr">
        <is>
          <t>Human</t>
        </is>
      </c>
      <c r="G2" s="25" t="inlineStr">
        <is>
          <t>mcr-1.1</t>
        </is>
      </c>
      <c r="H2" s="25" t="inlineStr">
        <is>
          <t>Short-read assembly (Shovill)</t>
        </is>
      </c>
    </row>
    <row r="3" ht="15" customHeight="1" s="20">
      <c r="A3" s="25" t="inlineStr">
        <is>
          <t>ERR13133281</t>
        </is>
      </c>
      <c r="B3" s="25" t="inlineStr">
        <is>
          <t>SAMEA115598777</t>
        </is>
      </c>
      <c r="C3" s="25" t="inlineStr">
        <is>
          <t>Illumina MiSeq</t>
        </is>
      </c>
      <c r="D3" s="25" t="inlineStr">
        <is>
          <t>PAIRED</t>
        </is>
      </c>
      <c r="E3" s="25" t="inlineStr">
        <is>
          <t>Egypt</t>
        </is>
      </c>
      <c r="F3" s="25" t="inlineStr">
        <is>
          <t>Human</t>
        </is>
      </c>
      <c r="G3" s="25" t="inlineStr">
        <is>
          <t>mcr-1.1</t>
        </is>
      </c>
      <c r="H3" s="25" t="inlineStr">
        <is>
          <t>Short-read assembly (Shovill)</t>
        </is>
      </c>
    </row>
    <row r="4" ht="15" customHeight="1" s="20">
      <c r="A4" s="25" t="inlineStr">
        <is>
          <t>ERR15952774</t>
        </is>
      </c>
      <c r="B4" s="25" t="inlineStr">
        <is>
          <t>SAMEA115952006</t>
        </is>
      </c>
      <c r="C4" s="25" t="inlineStr">
        <is>
          <t>Illumina NovaSeq 6000</t>
        </is>
      </c>
      <c r="D4" s="25" t="inlineStr">
        <is>
          <t>PAIRED</t>
        </is>
      </c>
      <c r="E4" s="25" t="inlineStr">
        <is>
          <t>Malawi</t>
        </is>
      </c>
      <c r="F4" s="25" t="inlineStr">
        <is>
          <t>Unspecified</t>
        </is>
      </c>
      <c r="G4" s="25" t="inlineStr">
        <is>
          <t>mcr-9</t>
        </is>
      </c>
      <c r="H4" s="25" t="inlineStr">
        <is>
          <t>Short-read assembly (Shovill)</t>
        </is>
      </c>
    </row>
    <row r="5" ht="15" customHeight="1" s="20">
      <c r="A5" s="25" t="inlineStr">
        <is>
          <t>SRR35975910</t>
        </is>
      </c>
      <c r="B5" s="25" t="inlineStr">
        <is>
          <t>SAMN53123346</t>
        </is>
      </c>
      <c r="C5" s="25" t="inlineStr">
        <is>
          <t>Illumina NovaSeq X</t>
        </is>
      </c>
      <c r="D5" s="25" t="inlineStr">
        <is>
          <t>PAIRED</t>
        </is>
      </c>
      <c r="E5" s="25" t="inlineStr">
        <is>
          <t>Tunisia</t>
        </is>
      </c>
      <c r="F5" s="25" t="inlineStr">
        <is>
          <t>Human</t>
        </is>
      </c>
      <c r="G5" s="25" t="inlineStr">
        <is>
          <t>mcr-1.1</t>
        </is>
      </c>
      <c r="H5" s="25" t="inlineStr">
        <is>
          <t>Short-read assembly (Shovill)</t>
        </is>
      </c>
    </row>
    <row r="6" ht="15" customHeight="1" s="20">
      <c r="A6" s="25" t="inlineStr">
        <is>
          <t>SRR35975911</t>
        </is>
      </c>
      <c r="B6" s="25" t="inlineStr">
        <is>
          <t>SAMN53123345</t>
        </is>
      </c>
      <c r="C6" s="25" t="inlineStr">
        <is>
          <t>Illumina NovaSeq X</t>
        </is>
      </c>
      <c r="D6" s="25" t="inlineStr">
        <is>
          <t>PAIRED</t>
        </is>
      </c>
      <c r="E6" s="25" t="inlineStr">
        <is>
          <t>Tunisia</t>
        </is>
      </c>
      <c r="F6" s="25" t="inlineStr">
        <is>
          <t>Human</t>
        </is>
      </c>
      <c r="G6" s="25" t="inlineStr">
        <is>
          <t>mcr-1.1</t>
        </is>
      </c>
      <c r="H6" s="25" t="inlineStr">
        <is>
          <t>Short-read assembly (Shovill)</t>
        </is>
      </c>
    </row>
    <row r="7" ht="15" customHeight="1" s="20">
      <c r="A7" s="25" t="inlineStr">
        <is>
          <t>SRR32898997</t>
        </is>
      </c>
      <c r="B7" s="25" t="inlineStr">
        <is>
          <t>SAMN47596263</t>
        </is>
      </c>
      <c r="C7" s="25" t="inlineStr">
        <is>
          <t>Illumina NovaSeq 6000</t>
        </is>
      </c>
      <c r="D7" s="25" t="inlineStr">
        <is>
          <t>PAIRED</t>
        </is>
      </c>
      <c r="E7" s="25" t="inlineStr">
        <is>
          <t>Tunisia</t>
        </is>
      </c>
      <c r="F7" s="25" t="inlineStr">
        <is>
          <t>Food (non-poultry)</t>
        </is>
      </c>
      <c r="G7" s="25" t="inlineStr">
        <is>
          <t>mcr-1.1</t>
        </is>
      </c>
      <c r="H7" s="25" t="inlineStr">
        <is>
          <t>Short-read assembly (Shovill)</t>
        </is>
      </c>
    </row>
    <row r="8" ht="15" customHeight="1" s="20">
      <c r="A8" s="25" t="inlineStr">
        <is>
          <t>SRR32899008</t>
        </is>
      </c>
      <c r="B8" s="25" t="inlineStr">
        <is>
          <t>SAMN47596259</t>
        </is>
      </c>
      <c r="C8" s="25" t="inlineStr">
        <is>
          <t>Illumina NovaSeq 6000</t>
        </is>
      </c>
      <c r="D8" s="25" t="inlineStr">
        <is>
          <t>PAIRED</t>
        </is>
      </c>
      <c r="E8" s="25" t="inlineStr">
        <is>
          <t>Tunisia</t>
        </is>
      </c>
      <c r="F8" s="25" t="inlineStr">
        <is>
          <t>Food (non-poultry)</t>
        </is>
      </c>
      <c r="G8" s="25" t="inlineStr">
        <is>
          <t>mcr-1.1</t>
        </is>
      </c>
      <c r="H8" s="25" t="inlineStr">
        <is>
          <t>Short-read assembly (Shovill)</t>
        </is>
      </c>
    </row>
    <row r="9" ht="15" customHeight="1" s="20">
      <c r="A9" s="25" t="inlineStr">
        <is>
          <t>SRR32899019</t>
        </is>
      </c>
      <c r="B9" s="25" t="inlineStr">
        <is>
          <t>SAMN47596258</t>
        </is>
      </c>
      <c r="C9" s="25" t="inlineStr">
        <is>
          <t>Illumina NovaSeq 6000</t>
        </is>
      </c>
      <c r="D9" s="25" t="inlineStr">
        <is>
          <t>PAIRED</t>
        </is>
      </c>
      <c r="E9" s="25" t="inlineStr">
        <is>
          <t>Tunisia</t>
        </is>
      </c>
      <c r="F9" s="25" t="inlineStr">
        <is>
          <t>Food (non-poultry)</t>
        </is>
      </c>
      <c r="G9" s="25" t="inlineStr">
        <is>
          <t>mcr-1.1</t>
        </is>
      </c>
      <c r="H9" s="25" t="inlineStr">
        <is>
          <t>Short-read assembly (Shovill)</t>
        </is>
      </c>
    </row>
    <row r="10" ht="15" customHeight="1" s="20">
      <c r="A10" s="25" t="inlineStr">
        <is>
          <t>SRR33015174</t>
        </is>
      </c>
      <c r="B10" s="25" t="inlineStr">
        <is>
          <t>SAMN40756789</t>
        </is>
      </c>
      <c r="C10" s="25" t="inlineStr">
        <is>
          <t>Illumina MiSeq</t>
        </is>
      </c>
      <c r="D10" s="25" t="inlineStr">
        <is>
          <t>PAIRED</t>
        </is>
      </c>
      <c r="E10" s="25" t="inlineStr">
        <is>
          <t>Niger</t>
        </is>
      </c>
      <c r="F10" s="25" t="inlineStr">
        <is>
          <t>Human</t>
        </is>
      </c>
      <c r="G10" s="25" t="inlineStr">
        <is>
          <t>mcr-1</t>
        </is>
      </c>
      <c r="H10" s="25" t="inlineStr">
        <is>
          <t>Short-read assembly (Shovill)</t>
        </is>
      </c>
    </row>
    <row r="11" ht="15" customHeight="1" s="20">
      <c r="A11" s="25" t="inlineStr">
        <is>
          <t>ERR13952704</t>
        </is>
      </c>
      <c r="B11" s="25" t="inlineStr">
        <is>
          <t>SAMEA114285223</t>
        </is>
      </c>
      <c r="C11" s="25" t="inlineStr">
        <is>
          <t>Illumina NovaSeq 6000</t>
        </is>
      </c>
      <c r="D11" s="25" t="inlineStr">
        <is>
          <t>PAIRED</t>
        </is>
      </c>
      <c r="E11" s="25" t="inlineStr">
        <is>
          <t>Malawi</t>
        </is>
      </c>
      <c r="F11" s="25" t="inlineStr">
        <is>
          <t>Unspecified</t>
        </is>
      </c>
      <c r="G11" s="25" t="inlineStr">
        <is>
          <t>mcr-9.1</t>
        </is>
      </c>
      <c r="H11" s="25" t="inlineStr">
        <is>
          <t>Short-read assembly (Shovill)</t>
        </is>
      </c>
    </row>
    <row r="12" ht="15" customHeight="1" s="20">
      <c r="A12" s="25" t="inlineStr">
        <is>
          <t>ERR13952550</t>
        </is>
      </c>
      <c r="B12" s="25" t="inlineStr">
        <is>
          <t>SAMEA114284974</t>
        </is>
      </c>
      <c r="C12" s="25" t="inlineStr">
        <is>
          <t>Illumina NovaSeq 6000</t>
        </is>
      </c>
      <c r="D12" s="25" t="inlineStr">
        <is>
          <t>PAIRED</t>
        </is>
      </c>
      <c r="E12" s="25" t="inlineStr">
        <is>
          <t>Malawi</t>
        </is>
      </c>
      <c r="F12" s="25" t="inlineStr">
        <is>
          <t>Unspecified</t>
        </is>
      </c>
      <c r="G12" s="25" t="inlineStr">
        <is>
          <t>mcr-9.1</t>
        </is>
      </c>
      <c r="H12" s="25" t="inlineStr">
        <is>
          <t>Short-read assembly (Shovill)</t>
        </is>
      </c>
    </row>
    <row r="13" ht="15" customHeight="1" s="20">
      <c r="A13" s="25" t="inlineStr">
        <is>
          <t>ERR12409409</t>
        </is>
      </c>
      <c r="B13" s="25" t="inlineStr">
        <is>
          <t>SAMEA115084356</t>
        </is>
      </c>
      <c r="C13" s="25" t="inlineStr">
        <is>
          <t>NextSeq 550</t>
        </is>
      </c>
      <c r="D13" s="25" t="inlineStr">
        <is>
          <t>PAIRED</t>
        </is>
      </c>
      <c r="E13" s="25" t="inlineStr">
        <is>
          <t>Tanzania</t>
        </is>
      </c>
      <c r="F13" s="25" t="inlineStr">
        <is>
          <t>Human</t>
        </is>
      </c>
      <c r="G13" s="25" t="inlineStr">
        <is>
          <t>mcr-10.1</t>
        </is>
      </c>
      <c r="H13" s="25" t="inlineStr">
        <is>
          <t>Short-read assembly (Shovill)</t>
        </is>
      </c>
    </row>
    <row r="14" ht="15" customHeight="1" s="20">
      <c r="A14" s="25" t="inlineStr">
        <is>
          <t>SRR24834186</t>
        </is>
      </c>
      <c r="B14" s="25" t="inlineStr">
        <is>
          <t>SAMN35358213</t>
        </is>
      </c>
      <c r="C14" s="25" t="inlineStr">
        <is>
          <t>Illumina NovaSeq 6000</t>
        </is>
      </c>
      <c r="D14" s="25" t="inlineStr">
        <is>
          <t>PAIRED</t>
        </is>
      </c>
      <c r="E14" s="25" t="inlineStr">
        <is>
          <t>Tunisia</t>
        </is>
      </c>
      <c r="F14" s="25" t="inlineStr">
        <is>
          <t>Other animal</t>
        </is>
      </c>
      <c r="G14" s="25" t="inlineStr">
        <is>
          <t>mcr-1</t>
        </is>
      </c>
      <c r="H14" s="25" t="inlineStr">
        <is>
          <t>Short-read assembly (Shovill)</t>
        </is>
      </c>
    </row>
    <row r="15" ht="15" customHeight="1" s="20">
      <c r="A15" s="25" t="inlineStr">
        <is>
          <t>DRR300284</t>
        </is>
      </c>
      <c r="B15" s="25" t="inlineStr">
        <is>
          <t>SAMD00328572</t>
        </is>
      </c>
      <c r="C15" s="25" t="inlineStr">
        <is>
          <t>Illumina MiniSeq</t>
        </is>
      </c>
      <c r="D15" s="25" t="inlineStr">
        <is>
          <t>PAIRED</t>
        </is>
      </c>
      <c r="E15" s="25" t="inlineStr">
        <is>
          <t>Egypt</t>
        </is>
      </c>
      <c r="F15" s="25" t="inlineStr">
        <is>
          <t>Human</t>
        </is>
      </c>
      <c r="G15" s="25" t="inlineStr">
        <is>
          <t>mcr-1.1</t>
        </is>
      </c>
      <c r="H15" s="25" t="inlineStr">
        <is>
          <t>Short-read assembly (Shovill)</t>
        </is>
      </c>
    </row>
    <row r="16" ht="15" customHeight="1" s="20">
      <c r="A16" s="25" t="inlineStr">
        <is>
          <t>DRR300283</t>
        </is>
      </c>
      <c r="B16" s="25" t="inlineStr">
        <is>
          <t>SAMD00328572</t>
        </is>
      </c>
      <c r="C16" s="25" t="inlineStr">
        <is>
          <t>MinION</t>
        </is>
      </c>
      <c r="D16" s="25" t="inlineStr">
        <is>
          <t>SINGLE</t>
        </is>
      </c>
      <c r="E16" s="25" t="inlineStr">
        <is>
          <t>Egypt</t>
        </is>
      </c>
      <c r="F16" s="25" t="inlineStr">
        <is>
          <t>Human</t>
        </is>
      </c>
      <c r="G16" s="25" t="inlineStr">
        <is>
          <t>mcr-1.1</t>
        </is>
      </c>
      <c r="H16" s="25" t="inlineStr">
        <is>
          <t>Long read: optional hybrid/plasmid closure</t>
        </is>
      </c>
    </row>
    <row r="17" ht="15" customHeight="1" s="20">
      <c r="A17" s="25" t="inlineStr">
        <is>
          <t>DRR300282</t>
        </is>
      </c>
      <c r="B17" s="25" t="inlineStr">
        <is>
          <t>SAMD00328569</t>
        </is>
      </c>
      <c r="C17" s="25" t="inlineStr">
        <is>
          <t>Illumina MiniSeq</t>
        </is>
      </c>
      <c r="D17" s="25" t="inlineStr">
        <is>
          <t>PAIRED</t>
        </is>
      </c>
      <c r="E17" s="25" t="inlineStr">
        <is>
          <t>Egypt</t>
        </is>
      </c>
      <c r="F17" s="25" t="inlineStr">
        <is>
          <t>Human</t>
        </is>
      </c>
      <c r="G17" s="25" t="inlineStr">
        <is>
          <t>mcr-1.1</t>
        </is>
      </c>
      <c r="H17" s="25" t="inlineStr">
        <is>
          <t>Short-read assembly (Shovill)</t>
        </is>
      </c>
    </row>
    <row r="18" ht="15" customHeight="1" s="20">
      <c r="A18" s="25" t="inlineStr">
        <is>
          <t>DRR300281</t>
        </is>
      </c>
      <c r="B18" s="25" t="inlineStr">
        <is>
          <t>SAMD00328569</t>
        </is>
      </c>
      <c r="C18" s="25" t="inlineStr">
        <is>
          <t>MinION</t>
        </is>
      </c>
      <c r="D18" s="25" t="inlineStr">
        <is>
          <t>SINGLE</t>
        </is>
      </c>
      <c r="E18" s="25" t="inlineStr">
        <is>
          <t>Egypt</t>
        </is>
      </c>
      <c r="F18" s="25" t="inlineStr">
        <is>
          <t>Human</t>
        </is>
      </c>
      <c r="G18" s="25" t="inlineStr">
        <is>
          <t>mcr-1.1</t>
        </is>
      </c>
      <c r="H18" s="25" t="inlineStr">
        <is>
          <t>Long read: optional hybrid/plasmid closure</t>
        </is>
      </c>
    </row>
    <row r="19" ht="15" customHeight="1" s="20">
      <c r="A19" s="25" t="inlineStr">
        <is>
          <t>SRR10392137</t>
        </is>
      </c>
      <c r="B19" s="25" t="inlineStr">
        <is>
          <t>SAMN13191328</t>
        </is>
      </c>
      <c r="C19" s="25" t="inlineStr">
        <is>
          <t>Illumina MiSeq</t>
        </is>
      </c>
      <c r="D19" s="25" t="inlineStr">
        <is>
          <t>PAIRED</t>
        </is>
      </c>
      <c r="E19" s="25" t="inlineStr">
        <is>
          <t>Egypt</t>
        </is>
      </c>
      <c r="F19" s="25" t="inlineStr">
        <is>
          <t>Food (non-poultry)</t>
        </is>
      </c>
      <c r="G19" s="25" t="inlineStr">
        <is>
          <t>mcr-1.1</t>
        </is>
      </c>
      <c r="H19" s="25" t="inlineStr">
        <is>
          <t>Short-read assembly (Shovill)</t>
        </is>
      </c>
    </row>
    <row r="20" ht="15" customHeight="1" s="20">
      <c r="A20" s="25" t="inlineStr">
        <is>
          <t>SRR23562243</t>
        </is>
      </c>
      <c r="B20" s="25" t="inlineStr">
        <is>
          <t>SAMN06928087</t>
        </is>
      </c>
      <c r="C20" s="25" t="inlineStr">
        <is>
          <t>Sequel</t>
        </is>
      </c>
      <c r="D20" s="25" t="inlineStr">
        <is>
          <t>SINGLE</t>
        </is>
      </c>
      <c r="E20" s="25" t="inlineStr">
        <is>
          <t>Egypt</t>
        </is>
      </c>
      <c r="F20" s="25" t="inlineStr">
        <is>
          <t>Food (non-poultry)</t>
        </is>
      </c>
      <c r="G20" s="25" t="inlineStr">
        <is>
          <t>mcr-1.1</t>
        </is>
      </c>
      <c r="H20" s="25" t="inlineStr">
        <is>
          <t>Long read: optional hybrid/plasmid closure</t>
        </is>
      </c>
    </row>
    <row r="21" ht="15" customHeight="1" s="20">
      <c r="A21" s="25" t="inlineStr">
        <is>
          <t>SRR5688544</t>
        </is>
      </c>
      <c r="B21" s="25" t="inlineStr">
        <is>
          <t>SAMN06928087</t>
        </is>
      </c>
      <c r="C21" s="25" t="inlineStr">
        <is>
          <t>Illumina MiSeq</t>
        </is>
      </c>
      <c r="D21" s="25" t="inlineStr">
        <is>
          <t>PAIRED</t>
        </is>
      </c>
      <c r="E21" s="25" t="inlineStr">
        <is>
          <t>Egypt</t>
        </is>
      </c>
      <c r="F21" s="25" t="inlineStr">
        <is>
          <t>Food (non-poultry)</t>
        </is>
      </c>
      <c r="G21" s="25" t="inlineStr">
        <is>
          <t>mcr-1.1</t>
        </is>
      </c>
      <c r="H21" s="25" t="inlineStr">
        <is>
          <t>Short-read assembly (Shovill)</t>
        </is>
      </c>
    </row>
    <row r="22" ht="15" customHeight="1" s="20">
      <c r="A22" s="25" t="inlineStr">
        <is>
          <t>ERR10670898</t>
        </is>
      </c>
      <c r="B22" s="25" t="inlineStr">
        <is>
          <t>SAMEA112238986</t>
        </is>
      </c>
      <c r="C22" s="25" t="inlineStr">
        <is>
          <t>Illumina MiSeq</t>
        </is>
      </c>
      <c r="D22" s="25" t="inlineStr">
        <is>
          <t>PAIRED</t>
        </is>
      </c>
      <c r="E22" s="25" t="inlineStr">
        <is>
          <t>Nigeria</t>
        </is>
      </c>
      <c r="F22" s="25" t="inlineStr">
        <is>
          <t>Human</t>
        </is>
      </c>
      <c r="G22" s="25" t="inlineStr">
        <is>
          <t>mcr-1.1</t>
        </is>
      </c>
      <c r="H22" s="25" t="inlineStr">
        <is>
          <t>Short-read assembly (Shovill)</t>
        </is>
      </c>
    </row>
    <row r="23" ht="15" customHeight="1" s="20">
      <c r="A23" s="25" t="inlineStr">
        <is>
          <t>ERR10670886</t>
        </is>
      </c>
      <c r="B23" s="25" t="inlineStr">
        <is>
          <t>SAMEA112238980</t>
        </is>
      </c>
      <c r="C23" s="25" t="inlineStr">
        <is>
          <t>Illumina MiSeq</t>
        </is>
      </c>
      <c r="D23" s="25" t="inlineStr">
        <is>
          <t>PAIRED</t>
        </is>
      </c>
      <c r="E23" s="25" t="inlineStr">
        <is>
          <t>Nigeria</t>
        </is>
      </c>
      <c r="F23" s="25" t="inlineStr">
        <is>
          <t>Human</t>
        </is>
      </c>
      <c r="G23" s="25" t="inlineStr">
        <is>
          <t>mcr-1.1</t>
        </is>
      </c>
      <c r="H23" s="25" t="inlineStr">
        <is>
          <t>Short-read assembly (Shovill)</t>
        </is>
      </c>
    </row>
    <row r="24" ht="15" customHeight="1" s="20">
      <c r="A24" s="25" t="inlineStr">
        <is>
          <t>ERR5696778</t>
        </is>
      </c>
      <c r="B24" s="25" t="inlineStr">
        <is>
          <t>SAMEA8550478</t>
        </is>
      </c>
      <c r="C24" s="25" t="inlineStr">
        <is>
          <t>NextSeq 500</t>
        </is>
      </c>
      <c r="D24" s="25" t="inlineStr">
        <is>
          <t>PAIRED</t>
        </is>
      </c>
      <c r="E24" s="25" t="inlineStr">
        <is>
          <t>Rwanda</t>
        </is>
      </c>
      <c r="F24" s="25" t="inlineStr">
        <is>
          <t>Unspecified</t>
        </is>
      </c>
      <c r="G24" s="25" t="inlineStr">
        <is>
          <t>mcr-9.1</t>
        </is>
      </c>
      <c r="H24" s="25" t="inlineStr">
        <is>
          <t>Short-read assembly (Shovill)</t>
        </is>
      </c>
    </row>
    <row r="25" ht="15" customHeight="1" s="20">
      <c r="A25" s="25" t="inlineStr">
        <is>
          <t>ERR5696750</t>
        </is>
      </c>
      <c r="B25" s="25" t="inlineStr">
        <is>
          <t>SAMEA8550450</t>
        </is>
      </c>
      <c r="C25" s="25" t="inlineStr">
        <is>
          <t>NextSeq 500</t>
        </is>
      </c>
      <c r="D25" s="25" t="inlineStr">
        <is>
          <t>PAIRED</t>
        </is>
      </c>
      <c r="E25" s="25" t="inlineStr">
        <is>
          <t>Rwanda</t>
        </is>
      </c>
      <c r="F25" s="25" t="inlineStr">
        <is>
          <t>Unspecified</t>
        </is>
      </c>
      <c r="G25" s="25" t="inlineStr">
        <is>
          <t>mcr-9.1</t>
        </is>
      </c>
      <c r="H25" s="25" t="inlineStr">
        <is>
          <t>Short-read assembly (Shovill)</t>
        </is>
      </c>
    </row>
    <row r="26" ht="15" customHeight="1" s="20">
      <c r="A26" s="25" t="inlineStr">
        <is>
          <t>SRR13675947</t>
        </is>
      </c>
      <c r="B26" s="25" t="inlineStr">
        <is>
          <t>SAMN16064912</t>
        </is>
      </c>
      <c r="C26" s="25" t="inlineStr">
        <is>
          <t>GridION</t>
        </is>
      </c>
      <c r="D26" s="25" t="inlineStr">
        <is>
          <t>SINGLE</t>
        </is>
      </c>
      <c r="E26" s="25" t="inlineStr">
        <is>
          <t>Egypt</t>
        </is>
      </c>
      <c r="F26" s="25" t="inlineStr">
        <is>
          <t>Poultry</t>
        </is>
      </c>
      <c r="G26" s="25" t="inlineStr">
        <is>
          <t>mcr-1.1</t>
        </is>
      </c>
      <c r="H26" s="25" t="inlineStr">
        <is>
          <t>Long read: optional hybrid/plasmid closure</t>
        </is>
      </c>
    </row>
    <row r="27" ht="15" customHeight="1" s="20">
      <c r="A27" s="25" t="inlineStr">
        <is>
          <t>SRR13675948</t>
        </is>
      </c>
      <c r="B27" s="25" t="inlineStr">
        <is>
          <t>SAMN16064911</t>
        </is>
      </c>
      <c r="C27" s="25" t="inlineStr">
        <is>
          <t>GridION</t>
        </is>
      </c>
      <c r="D27" s="25" t="inlineStr">
        <is>
          <t>SINGLE</t>
        </is>
      </c>
      <c r="E27" s="25" t="inlineStr">
        <is>
          <t>Egypt</t>
        </is>
      </c>
      <c r="F27" s="25" t="inlineStr">
        <is>
          <t>Poultry</t>
        </is>
      </c>
      <c r="G27" s="25" t="inlineStr">
        <is>
          <t>mcr-1.1</t>
        </is>
      </c>
      <c r="H27" s="25" t="inlineStr">
        <is>
          <t>Long read: optional hybrid/plasmid closure</t>
        </is>
      </c>
    </row>
    <row r="28" ht="15" customHeight="1" s="20">
      <c r="A28" s="25" t="inlineStr">
        <is>
          <t>SRR13675949</t>
        </is>
      </c>
      <c r="B28" s="25" t="inlineStr">
        <is>
          <t>SAMN16064909</t>
        </is>
      </c>
      <c r="C28" s="25" t="inlineStr">
        <is>
          <t>GridION</t>
        </is>
      </c>
      <c r="D28" s="25" t="inlineStr">
        <is>
          <t>SINGLE</t>
        </is>
      </c>
      <c r="E28" s="25" t="inlineStr">
        <is>
          <t>Egypt</t>
        </is>
      </c>
      <c r="F28" s="25" t="inlineStr">
        <is>
          <t>Poultry</t>
        </is>
      </c>
      <c r="G28" s="25" t="inlineStr">
        <is>
          <t>mcr-1.1</t>
        </is>
      </c>
      <c r="H28" s="25" t="inlineStr">
        <is>
          <t>Long read: optional hybrid/plasmid closure</t>
        </is>
      </c>
    </row>
    <row r="29" ht="15" customHeight="1" s="20">
      <c r="A29" s="25" t="inlineStr">
        <is>
          <t>SRR13675950</t>
        </is>
      </c>
      <c r="B29" s="25" t="inlineStr">
        <is>
          <t>SAMN16064908</t>
        </is>
      </c>
      <c r="C29" s="25" t="inlineStr">
        <is>
          <t>GridION</t>
        </is>
      </c>
      <c r="D29" s="25" t="inlineStr">
        <is>
          <t>SINGLE</t>
        </is>
      </c>
      <c r="E29" s="25" t="inlineStr">
        <is>
          <t>Egypt</t>
        </is>
      </c>
      <c r="F29" s="25" t="inlineStr">
        <is>
          <t>Poultry</t>
        </is>
      </c>
      <c r="G29" s="25" t="inlineStr">
        <is>
          <t>mcr-1.1</t>
        </is>
      </c>
      <c r="H29" s="25" t="inlineStr">
        <is>
          <t>Long read: optional hybrid/plasmid closure</t>
        </is>
      </c>
    </row>
    <row r="30" ht="15" customHeight="1" s="20">
      <c r="A30" s="25" t="inlineStr">
        <is>
          <t>SRR13675951</t>
        </is>
      </c>
      <c r="B30" s="25" t="inlineStr">
        <is>
          <t>SAMN16064910</t>
        </is>
      </c>
      <c r="C30" s="25" t="inlineStr">
        <is>
          <t>GridION</t>
        </is>
      </c>
      <c r="D30" s="25" t="inlineStr">
        <is>
          <t>SINGLE</t>
        </is>
      </c>
      <c r="E30" s="25" t="inlineStr">
        <is>
          <t>Egypt</t>
        </is>
      </c>
      <c r="F30" s="25" t="inlineStr">
        <is>
          <t>Poultry</t>
        </is>
      </c>
      <c r="G30" s="25" t="inlineStr">
        <is>
          <t>mcr-1.1</t>
        </is>
      </c>
      <c r="H30" s="25" t="inlineStr">
        <is>
          <t>Long read: optional hybrid/plasmid closure</t>
        </is>
      </c>
    </row>
    <row r="31" ht="15" customHeight="1" s="20">
      <c r="A31" s="25" t="inlineStr">
        <is>
          <t>SRR13376017</t>
        </is>
      </c>
      <c r="B31" s="25" t="inlineStr">
        <is>
          <t>SAMN17183229</t>
        </is>
      </c>
      <c r="C31" s="25" t="inlineStr">
        <is>
          <t>Illumina MiSeq</t>
        </is>
      </c>
      <c r="D31" s="25" t="inlineStr">
        <is>
          <t>PAIRED</t>
        </is>
      </c>
      <c r="E31" s="25" t="inlineStr">
        <is>
          <t>Egypt</t>
        </is>
      </c>
      <c r="F31" s="25" t="inlineStr">
        <is>
          <t>Human</t>
        </is>
      </c>
      <c r="G31" s="25" t="inlineStr">
        <is>
          <t>mcr-1.1</t>
        </is>
      </c>
      <c r="H31" s="25" t="inlineStr">
        <is>
          <t>Short-read assembly (Shovill)</t>
        </is>
      </c>
    </row>
    <row r="32" ht="15" customHeight="1" s="20">
      <c r="A32" s="25" t="inlineStr">
        <is>
          <t>ERR4452414</t>
        </is>
      </c>
      <c r="B32" s="25" t="inlineStr">
        <is>
          <t>SAMEA7177508</t>
        </is>
      </c>
      <c r="C32" s="25" t="inlineStr">
        <is>
          <t>unspecified</t>
        </is>
      </c>
      <c r="D32" s="25" t="inlineStr">
        <is>
          <t>PAIRED</t>
        </is>
      </c>
      <c r="E32" s="25" t="inlineStr">
        <is>
          <t>Ethiopia</t>
        </is>
      </c>
      <c r="F32" s="25" t="inlineStr">
        <is>
          <t>Unspecified</t>
        </is>
      </c>
      <c r="G32" s="25" t="inlineStr">
        <is>
          <t>mcr-9.1</t>
        </is>
      </c>
      <c r="H32" s="25" t="inlineStr">
        <is>
          <t>Short-read assembly (Shovill)</t>
        </is>
      </c>
    </row>
    <row r="33" ht="15" customHeight="1" s="20">
      <c r="A33" s="25" t="inlineStr">
        <is>
          <t>SRR10420728</t>
        </is>
      </c>
      <c r="B33" s="25" t="inlineStr">
        <is>
          <t>SAMN13245793</t>
        </is>
      </c>
      <c r="C33" s="25" t="inlineStr">
        <is>
          <t>Illumina MiSeq</t>
        </is>
      </c>
      <c r="D33" s="25" t="inlineStr">
        <is>
          <t>PAIRED</t>
        </is>
      </c>
      <c r="E33" s="25" t="inlineStr">
        <is>
          <t>Nigeria</t>
        </is>
      </c>
      <c r="F33" s="25" t="inlineStr">
        <is>
          <t>Human</t>
        </is>
      </c>
      <c r="G33" s="25" t="inlineStr">
        <is>
          <t>mcr-1.1</t>
        </is>
      </c>
      <c r="H33" s="25" t="inlineStr">
        <is>
          <t>Short-read assembly (Shovill)</t>
        </is>
      </c>
    </row>
    <row r="34" ht="15" customHeight="1" s="20">
      <c r="A34" s="25" t="inlineStr">
        <is>
          <t>SRR10098861</t>
        </is>
      </c>
      <c r="B34" s="25" t="inlineStr">
        <is>
          <t>SAMN12727826</t>
        </is>
      </c>
      <c r="C34" s="25" t="inlineStr">
        <is>
          <t>Illumina MiSeq</t>
        </is>
      </c>
      <c r="D34" s="25" t="inlineStr">
        <is>
          <t>PAIRED</t>
        </is>
      </c>
      <c r="E34" s="25" t="inlineStr">
        <is>
          <t>Nigeria</t>
        </is>
      </c>
      <c r="F34" s="25" t="inlineStr">
        <is>
          <t>Poultry</t>
        </is>
      </c>
      <c r="G34" s="25" t="inlineStr">
        <is>
          <t>mcr-1.1</t>
        </is>
      </c>
      <c r="H34" s="25" t="inlineStr">
        <is>
          <t>Short-read assembly (Shovill)</t>
        </is>
      </c>
    </row>
    <row r="35" ht="15" customHeight="1" s="20">
      <c r="A35" s="25" t="inlineStr">
        <is>
          <t>SRR9099603</t>
        </is>
      </c>
      <c r="B35" s="25" t="inlineStr">
        <is>
          <t>SAMN11553647</t>
        </is>
      </c>
      <c r="C35" s="25" t="inlineStr">
        <is>
          <t>Illumina MiniSeq</t>
        </is>
      </c>
      <c r="D35" s="25" t="inlineStr">
        <is>
          <t>PAIRED</t>
        </is>
      </c>
      <c r="E35" s="25" t="inlineStr">
        <is>
          <t>Algeria</t>
        </is>
      </c>
      <c r="F35" s="25" t="inlineStr">
        <is>
          <t>Environment</t>
        </is>
      </c>
      <c r="G35" s="25" t="inlineStr">
        <is>
          <t>mcr-1.5</t>
        </is>
      </c>
      <c r="H35" s="25" t="inlineStr">
        <is>
          <t>Short-read assembly (Shovill)</t>
        </is>
      </c>
    </row>
    <row r="36" ht="15" customHeight="1" s="20">
      <c r="A36" s="25" t="inlineStr">
        <is>
          <t>SRR9099604</t>
        </is>
      </c>
      <c r="B36" s="25" t="inlineStr">
        <is>
          <t>SAMN11553648</t>
        </is>
      </c>
      <c r="C36" s="25" t="inlineStr">
        <is>
          <t>Illumina MiniSeq</t>
        </is>
      </c>
      <c r="D36" s="25" t="inlineStr">
        <is>
          <t>PAIRED</t>
        </is>
      </c>
      <c r="E36" s="25" t="inlineStr">
        <is>
          <t>Algeria</t>
        </is>
      </c>
      <c r="F36" s="25" t="inlineStr">
        <is>
          <t>Environment</t>
        </is>
      </c>
      <c r="G36" s="25" t="inlineStr">
        <is>
          <t>mcr-1.1</t>
        </is>
      </c>
      <c r="H36" s="25" t="inlineStr">
        <is>
          <t>Short-read assembly (Shovill)</t>
        </is>
      </c>
    </row>
    <row r="37" ht="15" customHeight="1" s="20">
      <c r="A37" s="25" t="inlineStr">
        <is>
          <t>SRR9001943</t>
        </is>
      </c>
      <c r="B37" s="25" t="inlineStr">
        <is>
          <t>SAMN10986381</t>
        </is>
      </c>
      <c r="C37" s="25" t="inlineStr">
        <is>
          <t>MinION</t>
        </is>
      </c>
      <c r="D37" s="25" t="inlineStr">
        <is>
          <t>SINGLE</t>
        </is>
      </c>
      <c r="E37" s="25" t="inlineStr">
        <is>
          <t>Tanzania</t>
        </is>
      </c>
      <c r="F37" s="25" t="inlineStr">
        <is>
          <t>Human</t>
        </is>
      </c>
      <c r="G37" s="25" t="inlineStr">
        <is>
          <t>mcr-1.1</t>
        </is>
      </c>
      <c r="H37" s="25" t="inlineStr">
        <is>
          <t>Long read: optional hybrid/plasmid closure</t>
        </is>
      </c>
    </row>
    <row r="38" ht="15" customHeight="1" s="20">
      <c r="A38" s="25" t="inlineStr">
        <is>
          <t>SRR8610346</t>
        </is>
      </c>
      <c r="B38" s="25" t="inlineStr">
        <is>
          <t>SAMN10986381</t>
        </is>
      </c>
      <c r="C38" s="25" t="inlineStr">
        <is>
          <t>Illumina NovaSeq 6000</t>
        </is>
      </c>
      <c r="D38" s="25" t="inlineStr">
        <is>
          <t>PAIRED</t>
        </is>
      </c>
      <c r="E38" s="25" t="inlineStr">
        <is>
          <t>Tanzania</t>
        </is>
      </c>
      <c r="F38" s="25" t="inlineStr">
        <is>
          <t>Human</t>
        </is>
      </c>
      <c r="G38" s="25" t="inlineStr">
        <is>
          <t>mcr-1.1</t>
        </is>
      </c>
      <c r="H38" s="25" t="inlineStr">
        <is>
          <t>Short-read assembly (Shovill)</t>
        </is>
      </c>
    </row>
    <row r="39" ht="15" customHeight="1" s="20">
      <c r="A39" s="25" t="inlineStr">
        <is>
          <t>SRR8885624</t>
        </is>
      </c>
      <c r="B39" s="25" t="inlineStr">
        <is>
          <t>SAMN11388480</t>
        </is>
      </c>
      <c r="C39" s="25" t="inlineStr">
        <is>
          <t>NextSeq 500</t>
        </is>
      </c>
      <c r="D39" s="25" t="inlineStr">
        <is>
          <t>PAIRED</t>
        </is>
      </c>
      <c r="E39" s="25" t="inlineStr">
        <is>
          <t>Egypt</t>
        </is>
      </c>
      <c r="F39" s="25" t="inlineStr">
        <is>
          <t>Human</t>
        </is>
      </c>
      <c r="G39" s="25" t="inlineStr">
        <is>
          <t>mcr-9.2</t>
        </is>
      </c>
      <c r="H39" s="25" t="inlineStr">
        <is>
          <t>Short-read assembly (Shovill)</t>
        </is>
      </c>
    </row>
    <row r="40" ht="15" customHeight="1" s="20">
      <c r="A40" s="25" t="inlineStr">
        <is>
          <t>SRR8610343</t>
        </is>
      </c>
      <c r="B40" s="25" t="inlineStr">
        <is>
          <t>SAMN10986384</t>
        </is>
      </c>
      <c r="C40" s="25" t="inlineStr">
        <is>
          <t>Illumina NovaSeq 6000</t>
        </is>
      </c>
      <c r="D40" s="25" t="inlineStr">
        <is>
          <t>PAIRED</t>
        </is>
      </c>
      <c r="E40" s="25" t="inlineStr">
        <is>
          <t>Tanzania</t>
        </is>
      </c>
      <c r="F40" s="25" t="inlineStr">
        <is>
          <t>Human</t>
        </is>
      </c>
      <c r="G40" s="25" t="inlineStr">
        <is>
          <t>mcr-1.1</t>
        </is>
      </c>
      <c r="H40" s="25" t="inlineStr">
        <is>
          <t>Short-read assembly (Shovill)</t>
        </is>
      </c>
    </row>
    <row r="41" ht="15" customHeight="1" s="20">
      <c r="A41" s="25" t="inlineStr">
        <is>
          <t>SRR8610327</t>
        </is>
      </c>
      <c r="B41" s="25" t="inlineStr">
        <is>
          <t>SAMN10986379</t>
        </is>
      </c>
      <c r="C41" s="25" t="inlineStr">
        <is>
          <t>Illumina NovaSeq 6000</t>
        </is>
      </c>
      <c r="D41" s="25" t="inlineStr">
        <is>
          <t>PAIRED</t>
        </is>
      </c>
      <c r="E41" s="25" t="inlineStr">
        <is>
          <t>Tanzania</t>
        </is>
      </c>
      <c r="F41" s="25" t="inlineStr">
        <is>
          <t>Human</t>
        </is>
      </c>
      <c r="G41" s="25" t="inlineStr">
        <is>
          <t>mcr-1.1</t>
        </is>
      </c>
      <c r="H41" s="25" t="inlineStr">
        <is>
          <t>Short-read assembly (Shovill)</t>
        </is>
      </c>
    </row>
    <row r="42" ht="15" customHeight="1" s="20">
      <c r="A42" s="25" t="inlineStr">
        <is>
          <t>SRR8610355</t>
        </is>
      </c>
      <c r="B42" s="25" t="inlineStr">
        <is>
          <t>SAMN10986378</t>
        </is>
      </c>
      <c r="C42" s="25" t="inlineStr">
        <is>
          <t>Illumina NovaSeq 6000</t>
        </is>
      </c>
      <c r="D42" s="25" t="inlineStr">
        <is>
          <t>PAIRED</t>
        </is>
      </c>
      <c r="E42" s="25" t="inlineStr">
        <is>
          <t>Tanzania</t>
        </is>
      </c>
      <c r="F42" s="25" t="inlineStr">
        <is>
          <t>Human</t>
        </is>
      </c>
      <c r="G42" s="25" t="inlineStr">
        <is>
          <t>mcr-1.1</t>
        </is>
      </c>
      <c r="H42" s="25" t="inlineStr">
        <is>
          <t>Short-read assembly (Shovill)</t>
        </is>
      </c>
    </row>
    <row r="43" ht="15" customHeight="1" s="20">
      <c r="A43" s="25" t="inlineStr">
        <is>
          <t>SRR5688554</t>
        </is>
      </c>
      <c r="B43" s="25" t="inlineStr">
        <is>
          <t>SAMN06909729</t>
        </is>
      </c>
      <c r="C43" s="25" t="inlineStr">
        <is>
          <t>Illumina MiSeq</t>
        </is>
      </c>
      <c r="D43" s="25" t="inlineStr">
        <is>
          <t>PAIRED</t>
        </is>
      </c>
      <c r="E43" s="25" t="inlineStr">
        <is>
          <t>Egypt</t>
        </is>
      </c>
      <c r="F43" s="25" t="inlineStr">
        <is>
          <t>Food (non-poultry)</t>
        </is>
      </c>
      <c r="G43" s="25" t="inlineStr">
        <is>
          <t>mcr-1.1</t>
        </is>
      </c>
      <c r="H43" s="25" t="inlineStr">
        <is>
          <t>Short-read assembly (Shovill)</t>
        </is>
      </c>
    </row>
    <row r="44" ht="15" customHeight="1" s="20">
      <c r="A44" s="25" t="inlineStr">
        <is>
          <t>SRR5688555</t>
        </is>
      </c>
      <c r="B44" s="25" t="inlineStr">
        <is>
          <t>SAMN06928086</t>
        </is>
      </c>
      <c r="C44" s="25" t="inlineStr">
        <is>
          <t>Illumina MiSeq</t>
        </is>
      </c>
      <c r="D44" s="25" t="inlineStr">
        <is>
          <t>PAIRED</t>
        </is>
      </c>
      <c r="E44" s="25" t="inlineStr">
        <is>
          <t>Egypt</t>
        </is>
      </c>
      <c r="F44" s="25" t="inlineStr">
        <is>
          <t>Food (non-poultry)</t>
        </is>
      </c>
      <c r="G44" s="25" t="inlineStr">
        <is>
          <t>mcr-1.1</t>
        </is>
      </c>
      <c r="H44" s="25" t="inlineStr">
        <is>
          <t>Short-read assembly (Shovill)</t>
        </is>
      </c>
    </row>
    <row r="45" ht="15" customHeight="1" s="20">
      <c r="A45" s="25" t="inlineStr">
        <is>
          <t>SRR5688556</t>
        </is>
      </c>
      <c r="B45" s="25" t="inlineStr">
        <is>
          <t>SAMN06909728</t>
        </is>
      </c>
      <c r="C45" s="25" t="inlineStr">
        <is>
          <t>Illumina MiSeq</t>
        </is>
      </c>
      <c r="D45" s="25" t="inlineStr">
        <is>
          <t>PAIRED</t>
        </is>
      </c>
      <c r="E45" s="25" t="inlineStr">
        <is>
          <t>Egypt</t>
        </is>
      </c>
      <c r="F45" s="25" t="inlineStr">
        <is>
          <t>Food (non-poultry)</t>
        </is>
      </c>
      <c r="G45" s="25" t="inlineStr">
        <is>
          <t>mcr-1.1</t>
        </is>
      </c>
      <c r="H45" s="25" t="inlineStr">
        <is>
          <t>Short-read assembly (Shovill)</t>
        </is>
      </c>
    </row>
    <row r="46">
      <c r="A46" s="19" t="inlineStr">
        <is>
          <t>SRR25608269</t>
        </is>
      </c>
      <c r="B46" s="19" t="inlineStr">
        <is>
          <t>SAMN36943049</t>
        </is>
      </c>
      <c r="C46" s="19" t="inlineStr">
        <is>
          <t>ILLUMINA</t>
        </is>
      </c>
      <c r="D46" s="19" t="inlineStr">
        <is>
          <t>PAIRED</t>
        </is>
      </c>
      <c r="E46" s="19" t="inlineStr">
        <is>
          <t>South Africa</t>
        </is>
      </c>
      <c r="F46" s="19" t="inlineStr">
        <is>
          <t>Human</t>
        </is>
      </c>
      <c r="G46" s="19" t="inlineStr">
        <is>
          <t>mcr-1.1</t>
        </is>
      </c>
      <c r="H46" s="19" t="inlineStr">
        <is>
          <t>Short-read assembly (Shovill)</t>
        </is>
      </c>
    </row>
  </sheetData>
  <autoFilter ref="A1:H4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Z12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9" min="1" max="2"/>
    <col width="32" customWidth="1" style="19" min="3" max="3"/>
    <col width="16" customWidth="1" style="19" min="4" max="18"/>
    <col width="32" customWidth="1" style="19" min="19" max="19"/>
    <col width="16" customWidth="1" style="19" min="20" max="20"/>
    <col width="32" customWidth="1" style="19" min="21" max="21"/>
    <col width="16" customWidth="1" style="19" min="22" max="24"/>
    <col width="32" customWidth="1" style="19" min="25" max="26"/>
  </cols>
  <sheetData>
    <row r="1" ht="45" customHeight="1" s="20">
      <c r="A1" s="33" t="inlineStr">
        <is>
          <t>BioSample</t>
        </is>
      </c>
      <c r="B1" s="33" t="inlineStr">
        <is>
          <t>Galaxy input ID</t>
        </is>
      </c>
      <c r="C1" s="33" t="inlineStr">
        <is>
          <t>Galaxy arm</t>
        </is>
      </c>
      <c r="D1" s="33" t="inlineStr">
        <is>
          <t>Clean bases after fastp</t>
        </is>
      </c>
      <c r="E1" s="33" t="inlineStr">
        <is>
          <t>Est. depth (x, 5.1 Mb genome)</t>
        </is>
      </c>
      <c r="F1" s="33" t="inlineStr">
        <is>
          <t>Contigs (QUAST)</t>
        </is>
      </c>
      <c r="G1" s="33" t="inlineStr">
        <is>
          <t>Total length (bp)</t>
        </is>
      </c>
      <c r="H1" s="33" t="inlineStr">
        <is>
          <t>N50 (bp)</t>
        </is>
      </c>
      <c r="I1" s="33" t="inlineStr">
        <is>
          <t>GC (%)</t>
        </is>
      </c>
      <c r="J1" s="33" t="inlineStr">
        <is>
          <t>QC status</t>
        </is>
      </c>
      <c r="K1" s="33" t="inlineStr">
        <is>
          <t>mcr (PD)</t>
        </is>
      </c>
      <c r="L1" s="33" t="inlineStr">
        <is>
          <t>mcr (Galaxy AMRFinderPlus)</t>
        </is>
      </c>
      <c r="M1" s="33" t="inlineStr">
        <is>
          <t>AMRFinderPlus method</t>
        </is>
      </c>
      <c r="N1" s="33" t="inlineStr">
        <is>
          <t>% coverage</t>
        </is>
      </c>
      <c r="O1" s="33" t="inlineStr">
        <is>
          <t>% identity</t>
        </is>
      </c>
      <c r="P1" s="33" t="inlineStr">
        <is>
          <t>mcr contig</t>
        </is>
      </c>
      <c r="Q1" s="33" t="inlineStr">
        <is>
          <t>ABRicate NCBI mcr</t>
        </is>
      </c>
      <c r="R1" s="33" t="inlineStr">
        <is>
          <t>ABRicate ResFinder mcr</t>
        </is>
      </c>
      <c r="S1" s="33" t="inlineStr">
        <is>
          <t>PlasmidFinder replicon(s) on mcr contig</t>
        </is>
      </c>
      <c r="T1" s="33" t="inlineStr">
        <is>
          <t>MOB-Recon molecule</t>
        </is>
      </c>
      <c r="U1" s="33" t="inlineStr">
        <is>
          <t>MOB-Recon bin replicon(s)</t>
        </is>
      </c>
      <c r="V1" s="33" t="inlineStr">
        <is>
          <t>MOB-Recon relaxase(s)</t>
        </is>
      </c>
      <c r="W1" s="33" t="inlineStr">
        <is>
          <t>MOB-Recon bin size (bp)</t>
        </is>
      </c>
      <c r="X1" s="33" t="inlineStr">
        <is>
          <t>MLST ST (raw)</t>
        </is>
      </c>
      <c r="Y1" s="33" t="inlineStr">
        <is>
          <t>MLST alleles</t>
        </is>
      </c>
      <c r="Z1" s="33" t="inlineStr">
        <is>
          <t>All PlasmidFinder replicons in genome</t>
        </is>
      </c>
    </row>
    <row r="2" ht="15" customHeight="1" s="20">
      <c r="A2" s="34" t="inlineStr">
        <is>
          <t>SAMEA123453495</t>
        </is>
      </c>
      <c r="B2" s="34" t="inlineStr">
        <is>
          <t>GCA_988286365.1</t>
        </is>
      </c>
      <c r="C2" s="34" t="inlineStr">
        <is>
          <t>B (ENA assembly)</t>
        </is>
      </c>
      <c r="D2" s="35" t="n"/>
      <c r="E2" s="36">
        <f>IF(D2="","",D2/5100000)</f>
        <v/>
      </c>
      <c r="F2" s="35" t="n"/>
      <c r="G2" s="35" t="n"/>
      <c r="H2" s="35" t="n"/>
      <c r="I2" s="34" t="n"/>
      <c r="J2" s="34" t="inlineStr">
        <is>
          <t>Not run (ENA upload; 10 contigs, 5.36 Mb)</t>
        </is>
      </c>
      <c r="K2" s="34" t="inlineStr">
        <is>
          <t>mcr-1.1</t>
        </is>
      </c>
      <c r="L2" s="34" t="inlineStr">
        <is>
          <t>mcr-1.1</t>
        </is>
      </c>
      <c r="M2" s="34" t="inlineStr">
        <is>
          <t>ALLELEX</t>
        </is>
      </c>
      <c r="N2" s="34" t="inlineStr">
        <is>
          <t>100.00</t>
        </is>
      </c>
      <c r="O2" s="34" t="inlineStr">
        <is>
          <t>100.00</t>
        </is>
      </c>
      <c r="P2" s="34" t="inlineStr">
        <is>
          <t>ENA|CGBNHJ010000002|CGBNHJ010000002.1</t>
        </is>
      </c>
      <c r="Q2" s="34" t="inlineStr">
        <is>
          <t>mcr-1.1</t>
        </is>
      </c>
      <c r="R2" s="34" t="inlineStr">
        <is>
          <t>mcr-1.1_1</t>
        </is>
      </c>
      <c r="S2" s="34" t="inlineStr">
        <is>
          <t>IncI2_1_Delta</t>
        </is>
      </c>
      <c r="T2" s="34" t="n"/>
      <c r="U2" s="34" t="n"/>
      <c r="V2" s="34" t="n"/>
      <c r="W2" s="35" t="n"/>
      <c r="X2" s="34" t="inlineStr">
        <is>
          <t>410</t>
        </is>
      </c>
      <c r="Y2" s="34" t="inlineStr">
        <is>
          <t>adk(6) fumC(4) gyrB(12) icd(1) mdh(20) purA(18) recA(7)</t>
        </is>
      </c>
      <c r="Z2" s="34" t="inlineStr">
        <is>
          <t>IncFIB(AP001918)_1, IncFIC(FII)_1, IncI1_1_Alpha, IncI2_1_Delta</t>
        </is>
      </c>
    </row>
    <row r="3" ht="15" customHeight="1" s="20">
      <c r="A3" s="34" t="inlineStr">
        <is>
          <t>SAMEA115598817</t>
        </is>
      </c>
      <c r="B3" s="34" t="inlineStr">
        <is>
          <t>ERR13133321</t>
        </is>
      </c>
      <c r="C3" s="34" t="inlineStr">
        <is>
          <t>A (reads, Shovill)</t>
        </is>
      </c>
      <c r="D3" s="35" t="n">
        <v>924335314</v>
      </c>
      <c r="E3" s="36">
        <f>IF(D3="","",D3/5100000)</f>
        <v/>
      </c>
      <c r="F3" s="35" t="n">
        <v>183</v>
      </c>
      <c r="G3" s="35" t="n">
        <v>5264536</v>
      </c>
      <c r="H3" s="35" t="n">
        <v>147975</v>
      </c>
      <c r="I3" s="34" t="n">
        <v>50.7</v>
      </c>
      <c r="J3" s="34" t="inlineStr">
        <is>
          <t>Pass</t>
        </is>
      </c>
      <c r="K3" s="34" t="inlineStr">
        <is>
          <t>mcr-1.1</t>
        </is>
      </c>
      <c r="L3" s="34" t="inlineStr">
        <is>
          <t>mcr-1.1</t>
        </is>
      </c>
      <c r="M3" s="34" t="inlineStr">
        <is>
          <t>ALLELEX</t>
        </is>
      </c>
      <c r="N3" s="34" t="inlineStr">
        <is>
          <t>100.00</t>
        </is>
      </c>
      <c r="O3" s="34" t="inlineStr">
        <is>
          <t>100.00</t>
        </is>
      </c>
      <c r="P3" s="34" t="inlineStr">
        <is>
          <t>contig00041</t>
        </is>
      </c>
      <c r="Q3" s="34" t="inlineStr">
        <is>
          <t>mcr-1.1</t>
        </is>
      </c>
      <c r="R3" s="34" t="inlineStr">
        <is>
          <t>mcr-1.1_1</t>
        </is>
      </c>
      <c r="S3" s="34" t="inlineStr">
        <is>
          <t>IncX4_1</t>
        </is>
      </c>
      <c r="T3" s="34" t="n"/>
      <c r="U3" s="34" t="n"/>
      <c r="V3" s="34" t="n"/>
      <c r="W3" s="35" t="n"/>
      <c r="X3" s="34" t="inlineStr">
        <is>
          <t>1196</t>
        </is>
      </c>
      <c r="Y3" s="34" t="inlineStr">
        <is>
          <t>adk(6) fumC(6) gyrB(33) icd(26) mdh(11) purA(8) recA(2)</t>
        </is>
      </c>
      <c r="Z3" s="34" t="inlineStr">
        <is>
          <t>IncFIB(AP001918)_1, IncFIC(FII)_1, IncL/M(pOXA-48)_1_pOXA-48, IncR_1, IncX4_1</t>
        </is>
      </c>
    </row>
    <row r="4" ht="15" customHeight="1" s="20">
      <c r="A4" s="34" t="inlineStr">
        <is>
          <t>SAMEA115598777</t>
        </is>
      </c>
      <c r="B4" s="34" t="inlineStr">
        <is>
          <t>ERR13133281</t>
        </is>
      </c>
      <c r="C4" s="34" t="inlineStr">
        <is>
          <t>A (reads, Shovill)</t>
        </is>
      </c>
      <c r="D4" s="35" t="n">
        <v>984175648</v>
      </c>
      <c r="E4" s="36">
        <f>IF(D4="","",D4/5100000)</f>
        <v/>
      </c>
      <c r="F4" s="35" t="n">
        <v>236</v>
      </c>
      <c r="G4" s="35" t="n">
        <v>5389062</v>
      </c>
      <c r="H4" s="35" t="n">
        <v>105524</v>
      </c>
      <c r="I4" s="34" t="n">
        <v>50.4</v>
      </c>
      <c r="J4" s="34" t="inlineStr">
        <is>
          <t>Pass</t>
        </is>
      </c>
      <c r="K4" s="34" t="inlineStr">
        <is>
          <t>mcr-1.1</t>
        </is>
      </c>
      <c r="L4" s="34" t="inlineStr">
        <is>
          <t>mcr-1.1</t>
        </is>
      </c>
      <c r="M4" s="34" t="inlineStr">
        <is>
          <t>ALLELEX</t>
        </is>
      </c>
      <c r="N4" s="34" t="inlineStr">
        <is>
          <t>100.00</t>
        </is>
      </c>
      <c r="O4" s="34" t="inlineStr">
        <is>
          <t>100.00</t>
        </is>
      </c>
      <c r="P4" s="34" t="inlineStr">
        <is>
          <t>contig00093</t>
        </is>
      </c>
      <c r="Q4" s="34" t="inlineStr">
        <is>
          <t>mcr-1.1</t>
        </is>
      </c>
      <c r="R4" s="34" t="inlineStr">
        <is>
          <t>mcr-1.1_1</t>
        </is>
      </c>
      <c r="S4" s="34" t="inlineStr">
        <is>
          <t>none</t>
        </is>
      </c>
      <c r="T4" s="34" t="inlineStr">
        <is>
          <t>chromosome</t>
        </is>
      </c>
      <c r="U4" s="34" t="inlineStr">
        <is>
          <t>-</t>
        </is>
      </c>
      <c r="V4" s="34" t="inlineStr">
        <is>
          <t>-</t>
        </is>
      </c>
      <c r="W4" s="35" t="n"/>
      <c r="X4" s="34" t="inlineStr">
        <is>
          <t>359</t>
        </is>
      </c>
      <c r="Y4" s="34" t="inlineStr">
        <is>
          <t>adk(43) fumC(41) gyrB(15) icd(90) mdh(11) purA(8) recA(6)</t>
        </is>
      </c>
      <c r="Z4" s="34" t="inlineStr">
        <is>
          <t>IncFIB(AP001918)_1, IncFIC(FII)_1, IncI1_1_Alpha, IncX1_4, p0111_1</t>
        </is>
      </c>
    </row>
    <row r="5" ht="15" customHeight="1" s="20">
      <c r="A5" s="34" t="inlineStr">
        <is>
          <t>SAMN54240895</t>
        </is>
      </c>
      <c r="B5" s="34" t="inlineStr">
        <is>
          <t>GCA_056837985.1</t>
        </is>
      </c>
      <c r="C5" s="34" t="inlineStr">
        <is>
          <t>B (GenBank assembly)</t>
        </is>
      </c>
      <c r="D5" s="35" t="n"/>
      <c r="E5" s="36">
        <f>IF(D5="","",D5/5100000)</f>
        <v/>
      </c>
      <c r="F5" s="35" t="n">
        <v>6</v>
      </c>
      <c r="G5" s="35" t="n">
        <v>5501346</v>
      </c>
      <c r="H5" s="35" t="n">
        <v>5011085</v>
      </c>
      <c r="I5" s="34" t="n">
        <v>50.48</v>
      </c>
      <c r="J5" s="34" t="inlineStr">
        <is>
          <t>Pass</t>
        </is>
      </c>
      <c r="K5" s="34" t="inlineStr">
        <is>
          <t>mcr-1.1</t>
        </is>
      </c>
      <c r="L5" s="34" t="inlineStr">
        <is>
          <t>mcr-1.1</t>
        </is>
      </c>
      <c r="M5" s="34" t="inlineStr">
        <is>
          <t>ALLELEX</t>
        </is>
      </c>
      <c r="N5" s="34" t="inlineStr">
        <is>
          <t>100.00</t>
        </is>
      </c>
      <c r="O5" s="34" t="inlineStr">
        <is>
          <t>100.00</t>
        </is>
      </c>
      <c r="P5" s="34" t="inlineStr">
        <is>
          <t>JBTFHJ010000006.1</t>
        </is>
      </c>
      <c r="Q5" s="34" t="inlineStr">
        <is>
          <t>mcr-1.1</t>
        </is>
      </c>
      <c r="R5" s="34" t="inlineStr">
        <is>
          <t>mcr-1.1_1</t>
        </is>
      </c>
      <c r="S5" s="34" t="inlineStr">
        <is>
          <t>IncX4_1</t>
        </is>
      </c>
      <c r="T5" s="34" t="n"/>
      <c r="U5" s="34" t="n"/>
      <c r="V5" s="34" t="n"/>
      <c r="W5" s="35" t="n"/>
      <c r="X5" s="34" t="inlineStr">
        <is>
          <t>1011</t>
        </is>
      </c>
      <c r="Y5" s="34" t="inlineStr">
        <is>
          <t>adk(6) fumC(4) gyrB(159) icd(44) mdh(112) purA(1) recA(17)</t>
        </is>
      </c>
      <c r="Z5" s="34" t="inlineStr">
        <is>
          <t>IncFIB(AP001918)_1, IncFIC(FII)_1, IncI1_1_Alpha, IncX4_1, p0111_1</t>
        </is>
      </c>
    </row>
    <row r="6" ht="15" customHeight="1" s="20">
      <c r="A6" s="34" t="inlineStr">
        <is>
          <t>SAMN54240896</t>
        </is>
      </c>
      <c r="B6" s="34" t="inlineStr">
        <is>
          <t>GCA_056837925.1</t>
        </is>
      </c>
      <c r="C6" s="34" t="inlineStr">
        <is>
          <t>B (GenBank assembly)</t>
        </is>
      </c>
      <c r="D6" s="35" t="n"/>
      <c r="E6" s="36">
        <f>IF(D6="","",D6/5100000)</f>
        <v/>
      </c>
      <c r="F6" s="35" t="n">
        <v>4</v>
      </c>
      <c r="G6" s="35" t="n">
        <v>4954251</v>
      </c>
      <c r="H6" s="35" t="n">
        <v>4697231</v>
      </c>
      <c r="I6" s="34" t="n">
        <v>50.65</v>
      </c>
      <c r="J6" s="34" t="inlineStr">
        <is>
          <t>Pass</t>
        </is>
      </c>
      <c r="K6" s="34" t="inlineStr">
        <is>
          <t>mcr-1.1</t>
        </is>
      </c>
      <c r="L6" s="34" t="inlineStr">
        <is>
          <t>mcr-1.1</t>
        </is>
      </c>
      <c r="M6" s="34" t="inlineStr">
        <is>
          <t>ALLELEX</t>
        </is>
      </c>
      <c r="N6" s="34" t="inlineStr">
        <is>
          <t>100.00</t>
        </is>
      </c>
      <c r="O6" s="34" t="inlineStr">
        <is>
          <t>100.00</t>
        </is>
      </c>
      <c r="P6" s="34" t="inlineStr">
        <is>
          <t>JBTFHI010000003.1</t>
        </is>
      </c>
      <c r="Q6" s="34" t="inlineStr">
        <is>
          <t>mcr-1.1</t>
        </is>
      </c>
      <c r="R6" s="34" t="inlineStr">
        <is>
          <t>mcr-1.1_1</t>
        </is>
      </c>
      <c r="S6" s="34" t="inlineStr">
        <is>
          <t>IncX4_1</t>
        </is>
      </c>
      <c r="T6" s="34" t="n"/>
      <c r="U6" s="34" t="n"/>
      <c r="V6" s="34" t="n"/>
      <c r="W6" s="35" t="n"/>
      <c r="X6" s="34" t="inlineStr">
        <is>
          <t>167</t>
        </is>
      </c>
      <c r="Y6" s="34" t="inlineStr">
        <is>
          <t>adk(10) fumC(11) gyrB(4) icd(8) mdh(8) purA(13) recA(2)</t>
        </is>
      </c>
      <c r="Z6" s="34" t="inlineStr">
        <is>
          <t>IncFIB(AP001918)_1, IncQ1_1, IncX1_1, IncX4_1</t>
        </is>
      </c>
    </row>
    <row r="7" ht="15" customHeight="1" s="20">
      <c r="A7" s="34" t="inlineStr">
        <is>
          <t>SAMN54240897</t>
        </is>
      </c>
      <c r="B7" s="34" t="inlineStr">
        <is>
          <t>GCA_056837905.1</t>
        </is>
      </c>
      <c r="C7" s="34" t="inlineStr">
        <is>
          <t>B (GenBank assembly)</t>
        </is>
      </c>
      <c r="D7" s="35" t="n"/>
      <c r="E7" s="36">
        <f>IF(D7="","",D7/5100000)</f>
        <v/>
      </c>
      <c r="F7" s="35" t="n">
        <v>6</v>
      </c>
      <c r="G7" s="35" t="n">
        <v>5223700</v>
      </c>
      <c r="H7" s="35" t="n">
        <v>4255832</v>
      </c>
      <c r="I7" s="34" t="n">
        <v>50.56</v>
      </c>
      <c r="J7" s="34" t="inlineStr">
        <is>
          <t>Pass</t>
        </is>
      </c>
      <c r="K7" s="34" t="inlineStr">
        <is>
          <t>mcr-1.1</t>
        </is>
      </c>
      <c r="L7" s="34" t="inlineStr">
        <is>
          <t>mcr-1.1</t>
        </is>
      </c>
      <c r="M7" s="34" t="inlineStr">
        <is>
          <t>ALLELEX</t>
        </is>
      </c>
      <c r="N7" s="34" t="inlineStr">
        <is>
          <t>100.00</t>
        </is>
      </c>
      <c r="O7" s="34" t="inlineStr">
        <is>
          <t>100.00</t>
        </is>
      </c>
      <c r="P7" s="34" t="inlineStr">
        <is>
          <t>JBTFHH010000004.1</t>
        </is>
      </c>
      <c r="Q7" s="34" t="inlineStr">
        <is>
          <t>mcr-1.1</t>
        </is>
      </c>
      <c r="R7" s="34" t="inlineStr">
        <is>
          <t>mcr-1.1_1</t>
        </is>
      </c>
      <c r="S7" s="34" t="inlineStr">
        <is>
          <t>IncI2_1</t>
        </is>
      </c>
      <c r="T7" s="34" t="n"/>
      <c r="U7" s="34" t="n"/>
      <c r="V7" s="34" t="n"/>
      <c r="W7" s="35" t="n"/>
      <c r="X7" s="34" t="inlineStr">
        <is>
          <t>117</t>
        </is>
      </c>
      <c r="Y7" s="34" t="inlineStr">
        <is>
          <t>adk(20) fumC(45) gyrB(41) icd(43) mdh(5) purA(32) recA(2)</t>
        </is>
      </c>
      <c r="Z7" s="34" t="inlineStr">
        <is>
          <t>IncFIB(AP001918)_1, IncFIC(FII)_1, IncI2_1</t>
        </is>
      </c>
    </row>
    <row r="8" ht="15" customHeight="1" s="20">
      <c r="A8" s="34" t="inlineStr">
        <is>
          <t>SAMN54240898</t>
        </is>
      </c>
      <c r="B8" s="34" t="inlineStr">
        <is>
          <t>GCA_056837885.1</t>
        </is>
      </c>
      <c r="C8" s="34" t="inlineStr">
        <is>
          <t>B (GenBank assembly)</t>
        </is>
      </c>
      <c r="D8" s="35" t="n"/>
      <c r="E8" s="36">
        <f>IF(D8="","",D8/5100000)</f>
        <v/>
      </c>
      <c r="F8" s="35" t="n">
        <v>6</v>
      </c>
      <c r="G8" s="35" t="n">
        <v>5577124</v>
      </c>
      <c r="H8" s="35" t="n">
        <v>3305771</v>
      </c>
      <c r="I8" s="34" t="n">
        <v>50.52</v>
      </c>
      <c r="J8" s="34" t="inlineStr">
        <is>
          <t>Pass</t>
        </is>
      </c>
      <c r="K8" s="34" t="inlineStr">
        <is>
          <t>mcr-1.1</t>
        </is>
      </c>
      <c r="L8" s="34" t="inlineStr">
        <is>
          <t>mcr-1.1</t>
        </is>
      </c>
      <c r="M8" s="34" t="inlineStr">
        <is>
          <t>ALLELEX</t>
        </is>
      </c>
      <c r="N8" s="34" t="inlineStr">
        <is>
          <t>100.00</t>
        </is>
      </c>
      <c r="O8" s="34" t="inlineStr">
        <is>
          <t>100.00</t>
        </is>
      </c>
      <c r="P8" s="34" t="inlineStr">
        <is>
          <t>JBTFHG010000004.1</t>
        </is>
      </c>
      <c r="Q8" s="34" t="inlineStr">
        <is>
          <t>mcr-1.1</t>
        </is>
      </c>
      <c r="R8" s="34" t="inlineStr">
        <is>
          <t>mcr-1.1_1</t>
        </is>
      </c>
      <c r="S8" s="34" t="inlineStr">
        <is>
          <t>IncI2_1_Delta</t>
        </is>
      </c>
      <c r="T8" s="34" t="n"/>
      <c r="U8" s="34" t="n"/>
      <c r="V8" s="34" t="n"/>
      <c r="W8" s="35" t="n"/>
      <c r="X8" s="34" t="inlineStr">
        <is>
          <t>-</t>
        </is>
      </c>
      <c r="Y8" s="34" t="inlineStr">
        <is>
          <t>adk(203) fumC(~210) gyrB(308) icd(25) mdh(4) purA(16) recA(19)</t>
        </is>
      </c>
      <c r="Z8" s="34" t="inlineStr">
        <is>
          <t>IncI2_1_Delta</t>
        </is>
      </c>
    </row>
    <row r="9" ht="15" customHeight="1" s="20">
      <c r="A9" s="34" t="inlineStr">
        <is>
          <t>SAMN54240899</t>
        </is>
      </c>
      <c r="B9" s="34" t="inlineStr">
        <is>
          <t>GCA_056837865.1</t>
        </is>
      </c>
      <c r="C9" s="34" t="inlineStr">
        <is>
          <t>B (GenBank assembly)</t>
        </is>
      </c>
      <c r="D9" s="35" t="n"/>
      <c r="E9" s="36">
        <f>IF(D9="","",D9/5100000)</f>
        <v/>
      </c>
      <c r="F9" s="35" t="n">
        <v>5</v>
      </c>
      <c r="G9" s="35" t="n">
        <v>5412889</v>
      </c>
      <c r="H9" s="35" t="n">
        <v>5121332</v>
      </c>
      <c r="I9" s="34" t="n">
        <v>50.62</v>
      </c>
      <c r="J9" s="34" t="inlineStr">
        <is>
          <t>Pass</t>
        </is>
      </c>
      <c r="K9" s="34" t="inlineStr">
        <is>
          <t>mcr-1.1</t>
        </is>
      </c>
      <c r="L9" s="34" t="inlineStr">
        <is>
          <t>mcr-1.1</t>
        </is>
      </c>
      <c r="M9" s="34" t="inlineStr">
        <is>
          <t>ALLELEX</t>
        </is>
      </c>
      <c r="N9" s="34" t="inlineStr">
        <is>
          <t>100.00</t>
        </is>
      </c>
      <c r="O9" s="34" t="inlineStr">
        <is>
          <t>100.00</t>
        </is>
      </c>
      <c r="P9" s="34" t="inlineStr">
        <is>
          <t>JBTFHF010000004.1</t>
        </is>
      </c>
      <c r="Q9" s="34" t="inlineStr">
        <is>
          <t>mcr-1.1</t>
        </is>
      </c>
      <c r="R9" s="34" t="inlineStr">
        <is>
          <t>mcr-1.1_1</t>
        </is>
      </c>
      <c r="S9" s="34" t="inlineStr">
        <is>
          <t>IncI2_1_Delta</t>
        </is>
      </c>
      <c r="T9" s="34" t="n"/>
      <c r="U9" s="34" t="n"/>
      <c r="V9" s="34" t="n"/>
      <c r="W9" s="35" t="n"/>
      <c r="X9" s="34" t="inlineStr">
        <is>
          <t>69</t>
        </is>
      </c>
      <c r="Y9" s="34" t="inlineStr">
        <is>
          <t>adk(21) fumC(35) gyrB(27) icd(6) mdh(5) purA(5) recA(4)</t>
        </is>
      </c>
      <c r="Z9" s="34" t="inlineStr">
        <is>
          <t>Col156_1, IncB/O/K/Z_2, IncFIA(HI1)_1_HI1, IncFIB(AP001918)_1, IncI2_1_Delta, IncY_1</t>
        </is>
      </c>
    </row>
    <row r="10" ht="15" customHeight="1" s="20">
      <c r="A10" s="34" t="inlineStr">
        <is>
          <t>SAMN54240900</t>
        </is>
      </c>
      <c r="B10" s="34" t="inlineStr">
        <is>
          <t>GCA_056837825.1</t>
        </is>
      </c>
      <c r="C10" s="34" t="inlineStr">
        <is>
          <t>B (GenBank assembly)</t>
        </is>
      </c>
      <c r="D10" s="35" t="n"/>
      <c r="E10" s="36">
        <f>IF(D10="","",D10/5100000)</f>
        <v/>
      </c>
      <c r="F10" s="35" t="n">
        <v>4</v>
      </c>
      <c r="G10" s="35" t="n">
        <v>5296663</v>
      </c>
      <c r="H10" s="35" t="n">
        <v>5079085</v>
      </c>
      <c r="I10" s="34" t="n">
        <v>50.74</v>
      </c>
      <c r="J10" s="34" t="inlineStr">
        <is>
          <t>Pass</t>
        </is>
      </c>
      <c r="K10" s="34" t="inlineStr">
        <is>
          <t>mcr-1.1</t>
        </is>
      </c>
      <c r="L10" s="34" t="inlineStr">
        <is>
          <t>mcr-1.1</t>
        </is>
      </c>
      <c r="M10" s="34" t="inlineStr">
        <is>
          <t>ALLELEX</t>
        </is>
      </c>
      <c r="N10" s="34" t="inlineStr">
        <is>
          <t>100.00</t>
        </is>
      </c>
      <c r="O10" s="34" t="inlineStr">
        <is>
          <t>100.00</t>
        </is>
      </c>
      <c r="P10" s="34" t="inlineStr">
        <is>
          <t>JBTFHE010000003.1</t>
        </is>
      </c>
      <c r="Q10" s="34" t="inlineStr">
        <is>
          <t>mcr-1.1</t>
        </is>
      </c>
      <c r="R10" s="34" t="inlineStr">
        <is>
          <t>mcr-1.1_1</t>
        </is>
      </c>
      <c r="S10" s="34" t="inlineStr">
        <is>
          <t>IncI2_1_Delta</t>
        </is>
      </c>
      <c r="T10" s="34" t="n"/>
      <c r="U10" s="34" t="n"/>
      <c r="V10" s="34" t="n"/>
      <c r="W10" s="35" t="n"/>
      <c r="X10" s="34" t="inlineStr">
        <is>
          <t>9697</t>
        </is>
      </c>
      <c r="Y10" s="34" t="inlineStr">
        <is>
          <t>adk(6) fumC(4) gyrB(4) icd(16) mdh(9) purA(8) recA(7)</t>
        </is>
      </c>
      <c r="Z10" s="34" t="inlineStr">
        <is>
          <t>IncFIB(AP001918)_1, IncFII_1, IncI2_1_Delta</t>
        </is>
      </c>
    </row>
    <row r="11" ht="15" customHeight="1" s="20">
      <c r="A11" s="34" t="inlineStr">
        <is>
          <t>SAMN57053898</t>
        </is>
      </c>
      <c r="B11" s="34" t="inlineStr">
        <is>
          <t>GCA_056711405.1</t>
        </is>
      </c>
      <c r="C11" s="34" t="inlineStr">
        <is>
          <t>B (GenBank assembly)</t>
        </is>
      </c>
      <c r="D11" s="35" t="n"/>
      <c r="E11" s="36">
        <f>IF(D11="","",D11/5100000)</f>
        <v/>
      </c>
      <c r="F11" s="35" t="n">
        <v>6</v>
      </c>
      <c r="G11" s="35" t="n">
        <v>5297110</v>
      </c>
      <c r="H11" s="35" t="n">
        <v>5071810</v>
      </c>
      <c r="I11" s="34" t="n">
        <v>50.77</v>
      </c>
      <c r="J11" s="34" t="inlineStr">
        <is>
          <t>Pass</t>
        </is>
      </c>
      <c r="K11" s="34" t="inlineStr">
        <is>
          <t>mcr-1.1</t>
        </is>
      </c>
      <c r="L11" s="34" t="inlineStr">
        <is>
          <t>mcr-1.1</t>
        </is>
      </c>
      <c r="M11" s="34" t="inlineStr">
        <is>
          <t>ALLELEX</t>
        </is>
      </c>
      <c r="N11" s="34" t="inlineStr">
        <is>
          <t>100.00</t>
        </is>
      </c>
      <c r="O11" s="34" t="inlineStr">
        <is>
          <t>100.00</t>
        </is>
      </c>
      <c r="P11" s="34" t="inlineStr">
        <is>
          <t>JBWXYB010000003.1</t>
        </is>
      </c>
      <c r="Q11" s="34" t="inlineStr">
        <is>
          <t>mcr-1.1</t>
        </is>
      </c>
      <c r="R11" s="34" t="inlineStr">
        <is>
          <t>mcr-1.1_1</t>
        </is>
      </c>
      <c r="S11" s="34" t="inlineStr">
        <is>
          <t>IncI2_1_Delta</t>
        </is>
      </c>
      <c r="T11" s="34" t="n"/>
      <c r="U11" s="34" t="n"/>
      <c r="V11" s="34" t="n"/>
      <c r="W11" s="35" t="n"/>
      <c r="X11" s="34" t="inlineStr">
        <is>
          <t>9697</t>
        </is>
      </c>
      <c r="Y11" s="34" t="inlineStr">
        <is>
          <t>adk(6) fumC(4) gyrB(4) icd(16) mdh(9) purA(8) recA(7)</t>
        </is>
      </c>
      <c r="Z11" s="34" t="inlineStr">
        <is>
          <t>IncFIB(AP001918)_1, IncFII_1, IncI2_1_Delta</t>
        </is>
      </c>
    </row>
    <row r="12" ht="15" customHeight="1" s="20">
      <c r="A12" s="34" t="inlineStr">
        <is>
          <t>SAMN47585712</t>
        </is>
      </c>
      <c r="B12" s="34" t="inlineStr">
        <is>
          <t>GCA_055786625.1</t>
        </is>
      </c>
      <c r="C12" s="34" t="inlineStr">
        <is>
          <t>B (GenBank assembly)</t>
        </is>
      </c>
      <c r="D12" s="35" t="n"/>
      <c r="E12" s="36">
        <f>IF(D12="","",D12/5100000)</f>
        <v/>
      </c>
      <c r="F12" s="35" t="n">
        <v>5</v>
      </c>
      <c r="G12" s="35" t="n">
        <v>5172786</v>
      </c>
      <c r="H12" s="35" t="n">
        <v>4818742</v>
      </c>
      <c r="I12" s="34" t="n">
        <v>50.57</v>
      </c>
      <c r="J12" s="34" t="inlineStr">
        <is>
          <t>Pass</t>
        </is>
      </c>
      <c r="K12" s="34" t="inlineStr">
        <is>
          <t>mcr-1.1</t>
        </is>
      </c>
      <c r="L12" s="34" t="inlineStr">
        <is>
          <t>mcr-1.1</t>
        </is>
      </c>
      <c r="M12" s="34" t="inlineStr">
        <is>
          <t>ALLELEX</t>
        </is>
      </c>
      <c r="N12" s="34" t="inlineStr">
        <is>
          <t>100.00</t>
        </is>
      </c>
      <c r="O12" s="34" t="inlineStr">
        <is>
          <t>100.00</t>
        </is>
      </c>
      <c r="P12" s="34" t="inlineStr">
        <is>
          <t>JBVVBF010000002.1</t>
        </is>
      </c>
      <c r="Q12" s="34" t="inlineStr">
        <is>
          <t>mcr-1.1</t>
        </is>
      </c>
      <c r="R12" s="34" t="inlineStr">
        <is>
          <t>mcr-1.1_1</t>
        </is>
      </c>
      <c r="S12" s="34" t="inlineStr">
        <is>
          <t>IncI2_1_Delta</t>
        </is>
      </c>
      <c r="T12" s="34" t="n"/>
      <c r="U12" s="34" t="n"/>
      <c r="V12" s="34" t="n"/>
      <c r="W12" s="35" t="n"/>
      <c r="X12" s="34" t="inlineStr">
        <is>
          <t>162</t>
        </is>
      </c>
      <c r="Y12" s="34" t="inlineStr">
        <is>
          <t>adk(9) fumC(65) gyrB(5) icd(1) mdh(9) purA(13) recA(6)</t>
        </is>
      </c>
      <c r="Z12" s="34" t="inlineStr">
        <is>
          <t>IncFIB(AP001918)_1, IncFIC(FII)_1, IncI1_1_Alpha, IncI2_1_Delta</t>
        </is>
      </c>
    </row>
    <row r="13" ht="15" customHeight="1" s="20">
      <c r="A13" s="34" t="inlineStr">
        <is>
          <t>SAMN47585716</t>
        </is>
      </c>
      <c r="B13" s="34" t="inlineStr">
        <is>
          <t>GCA_055786575.1</t>
        </is>
      </c>
      <c r="C13" s="34" t="inlineStr">
        <is>
          <t>B (GenBank assembly)</t>
        </is>
      </c>
      <c r="D13" s="35" t="n"/>
      <c r="E13" s="36">
        <f>IF(D13="","",D13/5100000)</f>
        <v/>
      </c>
      <c r="F13" s="35" t="n">
        <v>5</v>
      </c>
      <c r="G13" s="35" t="n">
        <v>5011820</v>
      </c>
      <c r="H13" s="35" t="n">
        <v>4696956</v>
      </c>
      <c r="I13" s="34" t="n">
        <v>50.53</v>
      </c>
      <c r="J13" s="34" t="inlineStr">
        <is>
          <t>Pass</t>
        </is>
      </c>
      <c r="K13" s="34" t="inlineStr">
        <is>
          <t>mcr-1.1</t>
        </is>
      </c>
      <c r="L13" s="34" t="inlineStr">
        <is>
          <t>mcr-1.1</t>
        </is>
      </c>
      <c r="M13" s="34" t="inlineStr">
        <is>
          <t>ALLELEX</t>
        </is>
      </c>
      <c r="N13" s="34" t="inlineStr">
        <is>
          <t>100.00</t>
        </is>
      </c>
      <c r="O13" s="34" t="inlineStr">
        <is>
          <t>100.00</t>
        </is>
      </c>
      <c r="P13" s="34" t="inlineStr">
        <is>
          <t>JBVVBC010000001.1</t>
        </is>
      </c>
      <c r="Q13" s="34" t="inlineStr">
        <is>
          <t>mcr-1.1</t>
        </is>
      </c>
      <c r="R13" s="34" t="inlineStr">
        <is>
          <t>mcr-1.1_1</t>
        </is>
      </c>
      <c r="S13" s="34" t="inlineStr">
        <is>
          <t>IncI2_1_Delta</t>
        </is>
      </c>
      <c r="T13" s="34" t="n"/>
      <c r="U13" s="34" t="n"/>
      <c r="V13" s="34" t="n"/>
      <c r="W13" s="35" t="n"/>
      <c r="X13" s="34" t="inlineStr">
        <is>
          <t>10</t>
        </is>
      </c>
      <c r="Y13" s="34" t="inlineStr">
        <is>
          <t>adk(10) fumC(11) gyrB(4) icd(8) mdh(8) purA(8) recA(2)</t>
        </is>
      </c>
      <c r="Z13" s="34" t="inlineStr">
        <is>
          <t>IncFIB(AP001918)_1, IncFIC(FII)_1, IncI1_1_Alpha, IncI2_1_Delta</t>
        </is>
      </c>
    </row>
    <row r="14" ht="15" customHeight="1" s="20">
      <c r="A14" s="34" t="inlineStr">
        <is>
          <t>SAMN47585720</t>
        </is>
      </c>
      <c r="B14" s="34" t="inlineStr">
        <is>
          <t>GCA_055786505.1</t>
        </is>
      </c>
      <c r="C14" s="34" t="inlineStr">
        <is>
          <t>B (GenBank assembly)</t>
        </is>
      </c>
      <c r="D14" s="35" t="n"/>
      <c r="E14" s="36">
        <f>IF(D14="","",D14/5100000)</f>
        <v/>
      </c>
      <c r="F14" s="35" t="n">
        <v>4</v>
      </c>
      <c r="G14" s="35" t="n">
        <v>5306276</v>
      </c>
      <c r="H14" s="35" t="n">
        <v>4924089</v>
      </c>
      <c r="I14" s="34" t="n">
        <v>50.69</v>
      </c>
      <c r="J14" s="34" t="inlineStr">
        <is>
          <t>Pass</t>
        </is>
      </c>
      <c r="K14" s="34" t="inlineStr">
        <is>
          <t>mcr-1.1</t>
        </is>
      </c>
      <c r="L14" s="34" t="inlineStr">
        <is>
          <t>mcr-1.1</t>
        </is>
      </c>
      <c r="M14" s="34" t="inlineStr">
        <is>
          <t>ALLELEX</t>
        </is>
      </c>
      <c r="N14" s="34" t="inlineStr">
        <is>
          <t>100.00</t>
        </is>
      </c>
      <c r="O14" s="34" t="inlineStr">
        <is>
          <t>100.00</t>
        </is>
      </c>
      <c r="P14" s="34" t="inlineStr">
        <is>
          <t>JBVVAY010000004.1</t>
        </is>
      </c>
      <c r="Q14" s="34" t="inlineStr">
        <is>
          <t>mcr-1.1</t>
        </is>
      </c>
      <c r="R14" s="34" t="inlineStr">
        <is>
          <t>mcr-1.1_1</t>
        </is>
      </c>
      <c r="S14" s="34" t="inlineStr">
        <is>
          <t>IncI2_1_Delta</t>
        </is>
      </c>
      <c r="T14" s="34" t="n"/>
      <c r="U14" s="34" t="n"/>
      <c r="V14" s="34" t="n"/>
      <c r="W14" s="35" t="n"/>
      <c r="X14" s="34" t="inlineStr">
        <is>
          <t>162</t>
        </is>
      </c>
      <c r="Y14" s="34" t="inlineStr">
        <is>
          <t>adk(9) fumC(65) gyrB(5) icd(1) mdh(9) purA(13) recA(6)</t>
        </is>
      </c>
      <c r="Z14" s="34" t="inlineStr">
        <is>
          <t>IncFIB(AP001918)_1, IncFIC(FII)_1, IncI1_1_Alpha, IncI2_1_Delta</t>
        </is>
      </c>
    </row>
    <row r="15" ht="15" customHeight="1" s="20">
      <c r="A15" s="34" t="inlineStr">
        <is>
          <t>SAMEA120781931</t>
        </is>
      </c>
      <c r="B15" s="34" t="inlineStr">
        <is>
          <t>GCA_977857605.1</t>
        </is>
      </c>
      <c r="C15" s="34" t="inlineStr">
        <is>
          <t>B (GenBank assembly)</t>
        </is>
      </c>
      <c r="D15" s="35" t="n"/>
      <c r="E15" s="36">
        <f>IF(D15="","",D15/5100000)</f>
        <v/>
      </c>
      <c r="F15" s="35" t="n">
        <v>164</v>
      </c>
      <c r="G15" s="35" t="n">
        <v>4911609</v>
      </c>
      <c r="H15" s="35" t="n">
        <v>108383</v>
      </c>
      <c r="I15" s="34" t="n">
        <v>50.55</v>
      </c>
      <c r="J15" s="34" t="inlineStr">
        <is>
          <t>Pass</t>
        </is>
      </c>
      <c r="K15" s="34" t="inlineStr">
        <is>
          <t>mcr-1.1</t>
        </is>
      </c>
      <c r="L15" s="34" t="inlineStr">
        <is>
          <t>mcr-1.1</t>
        </is>
      </c>
      <c r="M15" s="34" t="inlineStr">
        <is>
          <t>ALLELEX</t>
        </is>
      </c>
      <c r="N15" s="34" t="inlineStr">
        <is>
          <t>100.00</t>
        </is>
      </c>
      <c r="O15" s="34" t="inlineStr">
        <is>
          <t>100.00</t>
        </is>
      </c>
      <c r="P15" s="34" t="inlineStr">
        <is>
          <t>CDWHEH010000028.1</t>
        </is>
      </c>
      <c r="Q15" s="34" t="inlineStr">
        <is>
          <t>mcr-1.1</t>
        </is>
      </c>
      <c r="R15" s="34" t="inlineStr">
        <is>
          <t>mcr-1.1_1</t>
        </is>
      </c>
      <c r="S15" s="34" t="inlineStr">
        <is>
          <t>none</t>
        </is>
      </c>
      <c r="T15" s="34" t="inlineStr">
        <is>
          <t>plasmid</t>
        </is>
      </c>
      <c r="U15" s="34" t="inlineStr">
        <is>
          <t>IncHI1A,IncFIA</t>
        </is>
      </c>
      <c r="V15" s="34" t="inlineStr">
        <is>
          <t>MOBH</t>
        </is>
      </c>
      <c r="W15" s="35" t="n">
        <v>184243</v>
      </c>
      <c r="X15" s="34" t="inlineStr">
        <is>
          <t>5625</t>
        </is>
      </c>
      <c r="Y15" s="34" t="inlineStr">
        <is>
          <t>adk(10) fumC(7) gyrB(4) icd(10) mdh(12) purA(8) recA(86)</t>
        </is>
      </c>
      <c r="Z15" s="34" t="inlineStr">
        <is>
          <t>IncFIA(HI1)_1_HI1, IncFIB(K)_1_Kpn3, IncHI1A_1, IncHI1B(R27)_1_R27</t>
        </is>
      </c>
    </row>
    <row r="16" ht="15" customHeight="1" s="20">
      <c r="A16" s="34" t="inlineStr">
        <is>
          <t>SAMN53123345</t>
        </is>
      </c>
      <c r="B16" s="34" t="inlineStr">
        <is>
          <t>SRR35975911</t>
        </is>
      </c>
      <c r="C16" s="34" t="inlineStr">
        <is>
          <t>A (reads, Shovill)</t>
        </is>
      </c>
      <c r="D16" s="35" t="n">
        <v>4645908303</v>
      </c>
      <c r="E16" s="36">
        <f>IF(D16="","",D16/5100000)</f>
        <v/>
      </c>
      <c r="F16" s="35" t="n">
        <v>96</v>
      </c>
      <c r="G16" s="35" t="n">
        <v>5197667</v>
      </c>
      <c r="H16" s="35" t="n">
        <v>366000</v>
      </c>
      <c r="I16" s="34" t="n">
        <v>50.55</v>
      </c>
      <c r="J16" s="34" t="inlineStr">
        <is>
          <t>Pass</t>
        </is>
      </c>
      <c r="K16" s="34" t="inlineStr">
        <is>
          <t>mcr-1.1</t>
        </is>
      </c>
      <c r="L16" s="34" t="inlineStr">
        <is>
          <t>mcr-1.1</t>
        </is>
      </c>
      <c r="M16" s="34" t="inlineStr">
        <is>
          <t>ALLELEX</t>
        </is>
      </c>
      <c r="N16" s="34" t="inlineStr">
        <is>
          <t>100.00</t>
        </is>
      </c>
      <c r="O16" s="34" t="inlineStr">
        <is>
          <t>100.00</t>
        </is>
      </c>
      <c r="P16" s="34" t="inlineStr">
        <is>
          <t>contig00024</t>
        </is>
      </c>
      <c r="Q16" s="34" t="inlineStr">
        <is>
          <t>mcr-1.1</t>
        </is>
      </c>
      <c r="R16" s="34" t="inlineStr">
        <is>
          <t>mcr-1.1_1</t>
        </is>
      </c>
      <c r="S16" s="34" t="inlineStr">
        <is>
          <t>IncX4_1</t>
        </is>
      </c>
      <c r="T16" s="34" t="n"/>
      <c r="U16" s="34" t="n"/>
      <c r="V16" s="34" t="n"/>
      <c r="W16" s="35" t="n"/>
      <c r="X16" s="34" t="inlineStr">
        <is>
          <t>1011</t>
        </is>
      </c>
      <c r="Y16" s="34" t="inlineStr">
        <is>
          <t>adk(6) fumC(4) gyrB(159) icd(44) mdh(112) purA(1) recA(17)</t>
        </is>
      </c>
      <c r="Z16" s="34" t="inlineStr">
        <is>
          <t>IncFIB(AP001918)_1, IncL/M(pOXA-48)_1_pOXA-48, IncX1_1, IncX4_1</t>
        </is>
      </c>
    </row>
    <row r="17" ht="15" customHeight="1" s="20">
      <c r="A17" s="34" t="inlineStr">
        <is>
          <t>SAMN53123346</t>
        </is>
      </c>
      <c r="B17" s="34" t="inlineStr">
        <is>
          <t>SRR35975910</t>
        </is>
      </c>
      <c r="C17" s="34" t="inlineStr">
        <is>
          <t>A (reads, Shovill)</t>
        </is>
      </c>
      <c r="D17" s="35" t="n">
        <v>2664629887</v>
      </c>
      <c r="E17" s="36">
        <f>IF(D17="","",D17/5100000)</f>
        <v/>
      </c>
      <c r="F17" s="35" t="n">
        <v>178</v>
      </c>
      <c r="G17" s="35" t="n">
        <v>5279466</v>
      </c>
      <c r="H17" s="35" t="n">
        <v>111627</v>
      </c>
      <c r="I17" s="34" t="n">
        <v>50.4</v>
      </c>
      <c r="J17" s="34" t="inlineStr">
        <is>
          <t>Pass</t>
        </is>
      </c>
      <c r="K17" s="34" t="inlineStr">
        <is>
          <t>mcr-1.1</t>
        </is>
      </c>
      <c r="L17" s="34" t="inlineStr">
        <is>
          <t>mcr-1.1</t>
        </is>
      </c>
      <c r="M17" s="34" t="inlineStr">
        <is>
          <t>ALLELEX</t>
        </is>
      </c>
      <c r="N17" s="34" t="inlineStr">
        <is>
          <t>100.00</t>
        </is>
      </c>
      <c r="O17" s="34" t="inlineStr">
        <is>
          <t>100.00</t>
        </is>
      </c>
      <c r="P17" s="34" t="inlineStr">
        <is>
          <t>contig00043</t>
        </is>
      </c>
      <c r="Q17" s="34" t="inlineStr">
        <is>
          <t>mcr-1.1</t>
        </is>
      </c>
      <c r="R17" s="34" t="inlineStr">
        <is>
          <t>mcr-1.1_1</t>
        </is>
      </c>
      <c r="S17" s="34" t="inlineStr">
        <is>
          <t>IncX4_1</t>
        </is>
      </c>
      <c r="T17" s="34" t="n"/>
      <c r="U17" s="34" t="n"/>
      <c r="V17" s="34" t="n"/>
      <c r="W17" s="35" t="n"/>
      <c r="X17" s="34" t="inlineStr">
        <is>
          <t>-</t>
        </is>
      </c>
      <c r="Y17" s="34" t="inlineStr">
        <is>
          <t>adk(99) fumC(~1179) gyrB(33) icd(33) mdh(24) purA(8) recA(7)</t>
        </is>
      </c>
      <c r="Z17" s="34" t="inlineStr">
        <is>
          <t>IncFIB(AP001918)_1, IncFII(pRSB107)_1_pRSB107, IncI1_1_Alpha, IncI2_1_Delta, IncX4_1, p0111_1</t>
        </is>
      </c>
    </row>
    <row r="18" ht="15" customHeight="1" s="20">
      <c r="A18" s="34" t="inlineStr">
        <is>
          <t>SAMN54331487</t>
        </is>
      </c>
      <c r="B18" s="34" t="inlineStr">
        <is>
          <t>GCA_054353075.1</t>
        </is>
      </c>
      <c r="C18" s="34" t="inlineStr">
        <is>
          <t>B (GenBank assembly)</t>
        </is>
      </c>
      <c r="D18" s="35" t="n"/>
      <c r="E18" s="36">
        <f>IF(D18="","",D18/5100000)</f>
        <v/>
      </c>
      <c r="F18" s="35" t="n">
        <v>177</v>
      </c>
      <c r="G18" s="35" t="n">
        <v>5053165</v>
      </c>
      <c r="H18" s="35" t="n">
        <v>75692</v>
      </c>
      <c r="I18" s="34" t="n">
        <v>50.51</v>
      </c>
      <c r="J18" s="34" t="inlineStr">
        <is>
          <t>Pass</t>
        </is>
      </c>
      <c r="K18" s="34" t="inlineStr">
        <is>
          <t>mcr-1.1</t>
        </is>
      </c>
      <c r="L18" s="34" t="inlineStr">
        <is>
          <t>mcr-1.1</t>
        </is>
      </c>
      <c r="M18" s="34" t="inlineStr">
        <is>
          <t>ALLELEX</t>
        </is>
      </c>
      <c r="N18" s="34" t="inlineStr">
        <is>
          <t>100.00</t>
        </is>
      </c>
      <c r="O18" s="34" t="inlineStr">
        <is>
          <t>100.00</t>
        </is>
      </c>
      <c r="P18" s="34" t="inlineStr">
        <is>
          <t>JBTHIR010000026.1</t>
        </is>
      </c>
      <c r="Q18" s="34" t="inlineStr">
        <is>
          <t>mcr-1.1</t>
        </is>
      </c>
      <c r="R18" s="34" t="inlineStr">
        <is>
          <t>mcr-1.1_1</t>
        </is>
      </c>
      <c r="S18" s="34" t="inlineStr">
        <is>
          <t>IncI2_1</t>
        </is>
      </c>
      <c r="T18" s="34" t="n"/>
      <c r="U18" s="34" t="n"/>
      <c r="V18" s="34" t="n"/>
      <c r="W18" s="35" t="n"/>
      <c r="X18" s="34" t="inlineStr">
        <is>
          <t>10</t>
        </is>
      </c>
      <c r="Y18" s="34" t="inlineStr">
        <is>
          <t>adk(10) fumC(11) gyrB(4) icd(8) mdh(8) purA(8) recA(2)</t>
        </is>
      </c>
      <c r="Z18" s="34" t="inlineStr">
        <is>
          <t>Col(BS512)_1, IncFIA_1, IncFIB(AP001918)_1, IncFIC(FII)_1, IncI1_1_Alpha, IncI2_1</t>
        </is>
      </c>
    </row>
    <row r="19" ht="15" customHeight="1" s="20">
      <c r="A19" s="34" t="inlineStr">
        <is>
          <t>SAMEA115952006</t>
        </is>
      </c>
      <c r="B19" s="34" t="inlineStr">
        <is>
          <t>ERR15952774</t>
        </is>
      </c>
      <c r="C19" s="34" t="inlineStr">
        <is>
          <t>A (reads, Shovill)</t>
        </is>
      </c>
      <c r="D19" s="35" t="n">
        <v>450595590</v>
      </c>
      <c r="E19" s="36">
        <f>IF(D19="","",D19/5100000)</f>
        <v/>
      </c>
      <c r="F19" s="35" t="n">
        <v>197</v>
      </c>
      <c r="G19" s="35" t="n">
        <v>5149345</v>
      </c>
      <c r="H19" s="35" t="n">
        <v>114466</v>
      </c>
      <c r="I19" s="34" t="n">
        <v>50.39</v>
      </c>
      <c r="J19" s="34" t="inlineStr">
        <is>
          <t>Pass</t>
        </is>
      </c>
      <c r="K19" s="34" t="inlineStr">
        <is>
          <t>mcr-9</t>
        </is>
      </c>
      <c r="L19" s="34" t="inlineStr">
        <is>
          <t>mcr-9</t>
        </is>
      </c>
      <c r="M19" s="34" t="inlineStr">
        <is>
          <t>BLASTX</t>
        </is>
      </c>
      <c r="N19" s="34" t="inlineStr">
        <is>
          <t>100.00</t>
        </is>
      </c>
      <c r="O19" s="34" t="inlineStr">
        <is>
          <t>99.81</t>
        </is>
      </c>
      <c r="P19" s="34" t="inlineStr">
        <is>
          <t>contig00088</t>
        </is>
      </c>
      <c r="Q19" s="34" t="inlineStr">
        <is>
          <t>none</t>
        </is>
      </c>
      <c r="R19" s="34" t="inlineStr">
        <is>
          <t>mcr-9.1_1</t>
        </is>
      </c>
      <c r="S19" s="34" t="inlineStr">
        <is>
          <t>none</t>
        </is>
      </c>
      <c r="T19" s="34" t="inlineStr">
        <is>
          <t>plasmid</t>
        </is>
      </c>
      <c r="U19" s="34" t="inlineStr">
        <is>
          <t>rep_cluster_1088,IncHI2A</t>
        </is>
      </c>
      <c r="V19" s="34" t="inlineStr">
        <is>
          <t>MOBH</t>
        </is>
      </c>
      <c r="W19" s="35" t="n">
        <v>332205</v>
      </c>
      <c r="X19" s="34" t="inlineStr">
        <is>
          <t>401</t>
        </is>
      </c>
      <c r="Y19" s="34" t="inlineStr">
        <is>
          <t>adk(1) fumC(107) gyrB(7) icd(11) mdh(7) purA(3) recA(7)</t>
        </is>
      </c>
      <c r="Z19" s="34" t="inlineStr">
        <is>
          <t>Col(IRGK)_1, IncHI2A_1, IncHI2_1</t>
        </is>
      </c>
    </row>
    <row r="20" ht="15" customHeight="1" s="20">
      <c r="A20" s="34" t="inlineStr">
        <is>
          <t>SAMN49661573</t>
        </is>
      </c>
      <c r="B20" s="34" t="inlineStr">
        <is>
          <t>GCA_053291725.1</t>
        </is>
      </c>
      <c r="C20" s="34" t="inlineStr">
        <is>
          <t>B (GenBank assembly)</t>
        </is>
      </c>
      <c r="D20" s="35" t="n"/>
      <c r="E20" s="36">
        <f>IF(D20="","",D20/5100000)</f>
        <v/>
      </c>
      <c r="F20" s="35" t="n">
        <v>107</v>
      </c>
      <c r="G20" s="35" t="n">
        <v>5324071</v>
      </c>
      <c r="H20" s="35" t="n">
        <v>82543</v>
      </c>
      <c r="I20" s="34" t="n">
        <v>50.47</v>
      </c>
      <c r="J20" s="34" t="inlineStr">
        <is>
          <t>Pass</t>
        </is>
      </c>
      <c r="K20" s="34" t="inlineStr">
        <is>
          <t>mcr-1.1</t>
        </is>
      </c>
      <c r="L20" s="34" t="inlineStr">
        <is>
          <t>mcr-1.1</t>
        </is>
      </c>
      <c r="M20" s="34" t="inlineStr">
        <is>
          <t>ALLELEX</t>
        </is>
      </c>
      <c r="N20" s="34" t="inlineStr">
        <is>
          <t>100.00</t>
        </is>
      </c>
      <c r="O20" s="34" t="inlineStr">
        <is>
          <t>100.00</t>
        </is>
      </c>
      <c r="P20" s="34" t="inlineStr">
        <is>
          <t>JBRXEK010000027.1</t>
        </is>
      </c>
      <c r="Q20" s="34" t="inlineStr">
        <is>
          <t>mcr-1.1</t>
        </is>
      </c>
      <c r="R20" s="34" t="inlineStr">
        <is>
          <t>mcr-1.1_1</t>
        </is>
      </c>
      <c r="S20" s="34" t="inlineStr">
        <is>
          <t>IncI2_1</t>
        </is>
      </c>
      <c r="T20" s="34" t="n"/>
      <c r="U20" s="34" t="n"/>
      <c r="V20" s="34" t="n"/>
      <c r="W20" s="35" t="n"/>
      <c r="X20" s="34" t="inlineStr">
        <is>
          <t>57</t>
        </is>
      </c>
      <c r="Y20" s="34" t="inlineStr">
        <is>
          <t>adk(6) fumC(31) gyrB(5) icd(28) mdh(1) purA(1) recA(2)</t>
        </is>
      </c>
      <c r="Z20" s="34" t="inlineStr">
        <is>
          <t>IncI2_1, IncY_1</t>
        </is>
      </c>
    </row>
    <row r="21" ht="15" customHeight="1" s="20">
      <c r="A21" s="34" t="inlineStr">
        <is>
          <t>SAMN44571232</t>
        </is>
      </c>
      <c r="B21" s="34" t="inlineStr">
        <is>
          <t>GCA_053044365.1</t>
        </is>
      </c>
      <c r="C21" s="34" t="inlineStr">
        <is>
          <t>B (GenBank assembly)</t>
        </is>
      </c>
      <c r="D21" s="35" t="n"/>
      <c r="E21" s="36">
        <f>IF(D21="","",D21/5100000)</f>
        <v/>
      </c>
      <c r="F21" s="35" t="n">
        <v>219</v>
      </c>
      <c r="G21" s="35" t="n">
        <v>5044812</v>
      </c>
      <c r="H21" s="35" t="n">
        <v>148104</v>
      </c>
      <c r="I21" s="34" t="n">
        <v>50.61</v>
      </c>
      <c r="J21" s="34" t="inlineStr">
        <is>
          <t>Pass</t>
        </is>
      </c>
      <c r="K21" s="34" t="inlineStr">
        <is>
          <t>mcr-1.1</t>
        </is>
      </c>
      <c r="L21" s="34" t="inlineStr">
        <is>
          <t>mcr-1.1</t>
        </is>
      </c>
      <c r="M21" s="34" t="inlineStr">
        <is>
          <t>ALLELEX</t>
        </is>
      </c>
      <c r="N21" s="34" t="inlineStr">
        <is>
          <t>100.00</t>
        </is>
      </c>
      <c r="O21" s="34" t="inlineStr">
        <is>
          <t>100.00</t>
        </is>
      </c>
      <c r="P21" s="34" t="inlineStr">
        <is>
          <t>JBIZWG010000030.1</t>
        </is>
      </c>
      <c r="Q21" s="34" t="inlineStr">
        <is>
          <t>mcr-1.1</t>
        </is>
      </c>
      <c r="R21" s="34" t="inlineStr">
        <is>
          <t>mcr-1.1_1</t>
        </is>
      </c>
      <c r="S21" s="34" t="inlineStr">
        <is>
          <t>IncI2_1_Delta</t>
        </is>
      </c>
      <c r="T21" s="34" t="n"/>
      <c r="U21" s="34" t="n"/>
      <c r="V21" s="34" t="n"/>
      <c r="W21" s="35" t="n"/>
      <c r="X21" s="34" t="inlineStr">
        <is>
          <t>155</t>
        </is>
      </c>
      <c r="Y21" s="34" t="inlineStr">
        <is>
          <t>adk(6) fumC(4) gyrB(14) icd(16) mdh(24) purA(8) recA(14)</t>
        </is>
      </c>
      <c r="Z21" s="34" t="inlineStr">
        <is>
          <t>IncFIB(AP001918)_1, IncFIB(H89-PhagePlasmid)_1, IncFII(pCoo)_1_pCoo, IncFII(pRSB107)_1_pRSB107, IncI2_1_Delta, IncX1_1</t>
        </is>
      </c>
    </row>
    <row r="22" ht="15" customHeight="1" s="20">
      <c r="A22" s="34" t="inlineStr">
        <is>
          <t>SAMN44571233</t>
        </is>
      </c>
      <c r="B22" s="34" t="inlineStr">
        <is>
          <t>GCA_053044345.1</t>
        </is>
      </c>
      <c r="C22" s="34" t="inlineStr">
        <is>
          <t>B (GenBank assembly)</t>
        </is>
      </c>
      <c r="D22" s="35" t="n"/>
      <c r="E22" s="36">
        <f>IF(D22="","",D22/5100000)</f>
        <v/>
      </c>
      <c r="F22" s="35" t="n">
        <v>217</v>
      </c>
      <c r="G22" s="35" t="n">
        <v>5044351</v>
      </c>
      <c r="H22" s="35" t="n">
        <v>148104</v>
      </c>
      <c r="I22" s="34" t="n">
        <v>50.62</v>
      </c>
      <c r="J22" s="34" t="inlineStr">
        <is>
          <t>Pass</t>
        </is>
      </c>
      <c r="K22" s="34" t="inlineStr">
        <is>
          <t>mcr-1.1</t>
        </is>
      </c>
      <c r="L22" s="34" t="inlineStr">
        <is>
          <t>mcr-1.1</t>
        </is>
      </c>
      <c r="M22" s="34" t="inlineStr">
        <is>
          <t>ALLELEX</t>
        </is>
      </c>
      <c r="N22" s="34" t="inlineStr">
        <is>
          <t>100.00</t>
        </is>
      </c>
      <c r="O22" s="34" t="inlineStr">
        <is>
          <t>100.00</t>
        </is>
      </c>
      <c r="P22" s="34" t="inlineStr">
        <is>
          <t>JBIZWH010000027.1</t>
        </is>
      </c>
      <c r="Q22" s="34" t="inlineStr">
        <is>
          <t>mcr-1.1</t>
        </is>
      </c>
      <c r="R22" s="34" t="inlineStr">
        <is>
          <t>mcr-1.1_1</t>
        </is>
      </c>
      <c r="S22" s="34" t="inlineStr">
        <is>
          <t>IncI2_1_Delta</t>
        </is>
      </c>
      <c r="T22" s="34" t="n"/>
      <c r="U22" s="34" t="n"/>
      <c r="V22" s="34" t="n"/>
      <c r="W22" s="35" t="n"/>
      <c r="X22" s="34" t="inlineStr">
        <is>
          <t>155</t>
        </is>
      </c>
      <c r="Y22" s="34" t="inlineStr">
        <is>
          <t>adk(6) fumC(4) gyrB(14) icd(16) mdh(24) purA(8) recA(14)</t>
        </is>
      </c>
      <c r="Z22" s="34" t="inlineStr">
        <is>
          <t>IncFIB(AP001918)_1, IncFIB(H89-PhagePlasmid)_1, IncFII(pCoo)_1_pCoo, IncFII(pRSB107)_1_pRSB107, IncI2_1_Delta, IncX1_1</t>
        </is>
      </c>
    </row>
    <row r="23" ht="15" customHeight="1" s="20">
      <c r="A23" s="34" t="inlineStr">
        <is>
          <t>SAMN44571236</t>
        </is>
      </c>
      <c r="B23" s="34" t="inlineStr">
        <is>
          <t>GCA_053044255.1</t>
        </is>
      </c>
      <c r="C23" s="34" t="inlineStr">
        <is>
          <t>B (GenBank assembly)</t>
        </is>
      </c>
      <c r="D23" s="35" t="n"/>
      <c r="E23" s="36">
        <f>IF(D23="","",D23/5100000)</f>
        <v/>
      </c>
      <c r="F23" s="35" t="n">
        <v>207</v>
      </c>
      <c r="G23" s="35" t="n">
        <v>5045982</v>
      </c>
      <c r="H23" s="35" t="n">
        <v>148713</v>
      </c>
      <c r="I23" s="34" t="n">
        <v>50.61</v>
      </c>
      <c r="J23" s="34" t="inlineStr">
        <is>
          <t>Pass</t>
        </is>
      </c>
      <c r="K23" s="34" t="inlineStr">
        <is>
          <t>mcr-1.1</t>
        </is>
      </c>
      <c r="L23" s="34" t="inlineStr">
        <is>
          <t>mcr-1.1</t>
        </is>
      </c>
      <c r="M23" s="34" t="inlineStr">
        <is>
          <t>ALLELEX</t>
        </is>
      </c>
      <c r="N23" s="34" t="inlineStr">
        <is>
          <t>100.00</t>
        </is>
      </c>
      <c r="O23" s="34" t="inlineStr">
        <is>
          <t>100.00</t>
        </is>
      </c>
      <c r="P23" s="34" t="inlineStr">
        <is>
          <t>JBIZWK010000029.1</t>
        </is>
      </c>
      <c r="Q23" s="34" t="inlineStr">
        <is>
          <t>mcr-1.1</t>
        </is>
      </c>
      <c r="R23" s="34" t="inlineStr">
        <is>
          <t>mcr-1.1_1</t>
        </is>
      </c>
      <c r="S23" s="34" t="inlineStr">
        <is>
          <t>IncI2_1_Delta</t>
        </is>
      </c>
      <c r="T23" s="34" t="n"/>
      <c r="U23" s="34" t="n"/>
      <c r="V23" s="34" t="n"/>
      <c r="W23" s="35" t="n"/>
      <c r="X23" s="34" t="inlineStr">
        <is>
          <t>155</t>
        </is>
      </c>
      <c r="Y23" s="34" t="inlineStr">
        <is>
          <t>adk(6) fumC(4) gyrB(14) icd(16) mdh(24) purA(8) recA(14)</t>
        </is>
      </c>
      <c r="Z23" s="34" t="inlineStr">
        <is>
          <t>IncFIB(AP001918)_1, IncFIB(H89-PhagePlasmid)_1, IncFII(pCoo)_1_pCoo, IncFII(pRSB107)_1_pRSB107, IncI2_1_Delta, IncX1_1</t>
        </is>
      </c>
    </row>
    <row r="24" ht="15" customHeight="1" s="20">
      <c r="A24" s="34" t="inlineStr">
        <is>
          <t>SAMN44571234</t>
        </is>
      </c>
      <c r="B24" s="34" t="inlineStr">
        <is>
          <t>GCA_053044235.1</t>
        </is>
      </c>
      <c r="C24" s="34" t="inlineStr">
        <is>
          <t>B (GenBank assembly)</t>
        </is>
      </c>
      <c r="D24" s="35" t="n"/>
      <c r="E24" s="36">
        <f>IF(D24="","",D24/5100000)</f>
        <v/>
      </c>
      <c r="F24" s="35" t="n">
        <v>205</v>
      </c>
      <c r="G24" s="35" t="n">
        <v>5046788</v>
      </c>
      <c r="H24" s="35" t="n">
        <v>148104</v>
      </c>
      <c r="I24" s="34" t="n">
        <v>50.62</v>
      </c>
      <c r="J24" s="34" t="inlineStr">
        <is>
          <t>Pass</t>
        </is>
      </c>
      <c r="K24" s="34" t="inlineStr">
        <is>
          <t>mcr-1.1</t>
        </is>
      </c>
      <c r="L24" s="34" t="inlineStr">
        <is>
          <t>mcr-1.1</t>
        </is>
      </c>
      <c r="M24" s="34" t="inlineStr">
        <is>
          <t>ALLELEX</t>
        </is>
      </c>
      <c r="N24" s="34" t="inlineStr">
        <is>
          <t>100.00</t>
        </is>
      </c>
      <c r="O24" s="34" t="inlineStr">
        <is>
          <t>100.00</t>
        </is>
      </c>
      <c r="P24" s="34" t="inlineStr">
        <is>
          <t>JBIZWI010000025.1</t>
        </is>
      </c>
      <c r="Q24" s="34" t="inlineStr">
        <is>
          <t>mcr-1.1</t>
        </is>
      </c>
      <c r="R24" s="34" t="inlineStr">
        <is>
          <t>mcr-1.1_1</t>
        </is>
      </c>
      <c r="S24" s="34" t="inlineStr">
        <is>
          <t>IncI2_1_Delta</t>
        </is>
      </c>
      <c r="T24" s="34" t="n"/>
      <c r="U24" s="34" t="n"/>
      <c r="V24" s="34" t="n"/>
      <c r="W24" s="35" t="n"/>
      <c r="X24" s="34" t="inlineStr">
        <is>
          <t>155</t>
        </is>
      </c>
      <c r="Y24" s="34" t="inlineStr">
        <is>
          <t>adk(6) fumC(4) gyrB(14) icd(16) mdh(24) purA(8) recA(14)</t>
        </is>
      </c>
      <c r="Z24" s="34" t="inlineStr">
        <is>
          <t>IncFIB(AP001918)_1, IncFIB(H89-PhagePlasmid)_1, IncFII(pCoo)_1_pCoo, IncFII(pRSB107)_1_pRSB107, IncI2_1_Delta, IncX1_1</t>
        </is>
      </c>
    </row>
    <row r="25" ht="15" customHeight="1" s="20">
      <c r="A25" s="34" t="inlineStr">
        <is>
          <t>SAMN44571235</t>
        </is>
      </c>
      <c r="B25" s="34" t="inlineStr">
        <is>
          <t>GCA_053044225.1</t>
        </is>
      </c>
      <c r="C25" s="34" t="inlineStr">
        <is>
          <t>B (GenBank assembly)</t>
        </is>
      </c>
      <c r="D25" s="35" t="n"/>
      <c r="E25" s="36">
        <f>IF(D25="","",D25/5100000)</f>
        <v/>
      </c>
      <c r="F25" s="35" t="n">
        <v>232</v>
      </c>
      <c r="G25" s="35" t="n">
        <v>5043971</v>
      </c>
      <c r="H25" s="35" t="n">
        <v>123136</v>
      </c>
      <c r="I25" s="34" t="n">
        <v>50.62</v>
      </c>
      <c r="J25" s="34" t="inlineStr">
        <is>
          <t>Pass</t>
        </is>
      </c>
      <c r="K25" s="34" t="inlineStr">
        <is>
          <t>mcr-1.1</t>
        </is>
      </c>
      <c r="L25" s="34" t="inlineStr">
        <is>
          <t>mcr-1.1</t>
        </is>
      </c>
      <c r="M25" s="34" t="inlineStr">
        <is>
          <t>ALLELEX</t>
        </is>
      </c>
      <c r="N25" s="34" t="inlineStr">
        <is>
          <t>100.00</t>
        </is>
      </c>
      <c r="O25" s="34" t="inlineStr">
        <is>
          <t>100.00</t>
        </is>
      </c>
      <c r="P25" s="34" t="inlineStr">
        <is>
          <t>JBIZWJ010000031.1</t>
        </is>
      </c>
      <c r="Q25" s="34" t="inlineStr">
        <is>
          <t>mcr-1.1</t>
        </is>
      </c>
      <c r="R25" s="34" t="inlineStr">
        <is>
          <t>mcr-1.1_1</t>
        </is>
      </c>
      <c r="S25" s="34" t="inlineStr">
        <is>
          <t>IncI2_1_Delta</t>
        </is>
      </c>
      <c r="T25" s="34" t="n"/>
      <c r="U25" s="34" t="n"/>
      <c r="V25" s="34" t="n"/>
      <c r="W25" s="35" t="n"/>
      <c r="X25" s="34" t="inlineStr">
        <is>
          <t>155</t>
        </is>
      </c>
      <c r="Y25" s="34" t="inlineStr">
        <is>
          <t>adk(6) fumC(4) gyrB(14) icd(16) mdh(24) purA(8) recA(14)</t>
        </is>
      </c>
      <c r="Z25" s="34" t="inlineStr">
        <is>
          <t>IncFIB(AP001918)_1, IncFIB(H89-PhagePlasmid)_1, IncFII(pCoo)_1_pCoo, IncFII(pRSB107)_1_pRSB107, IncI2_1_Delta, IncX1_1</t>
        </is>
      </c>
    </row>
    <row r="26" ht="15" customHeight="1" s="20">
      <c r="A26" s="34" t="inlineStr">
        <is>
          <t>SAMN47596258</t>
        </is>
      </c>
      <c r="B26" s="34" t="inlineStr">
        <is>
          <t>SRR32899019</t>
        </is>
      </c>
      <c r="C26" s="34" t="inlineStr">
        <is>
          <t>A (reads, Shovill)</t>
        </is>
      </c>
      <c r="D26" s="35" t="n">
        <v>1305007652</v>
      </c>
      <c r="E26" s="36">
        <f>IF(D26="","",D26/5100000)</f>
        <v/>
      </c>
      <c r="F26" s="35" t="n">
        <v>280</v>
      </c>
      <c r="G26" s="35" t="n">
        <v>5626966</v>
      </c>
      <c r="H26" s="35" t="n">
        <v>113916</v>
      </c>
      <c r="I26" s="34" t="n">
        <v>50.27</v>
      </c>
      <c r="J26" s="34" t="inlineStr">
        <is>
          <t>Pass</t>
        </is>
      </c>
      <c r="K26" s="34" t="inlineStr">
        <is>
          <t>mcr-1.1</t>
        </is>
      </c>
      <c r="L26" s="34" t="inlineStr">
        <is>
          <t>mcr-1</t>
        </is>
      </c>
      <c r="M26" s="34" t="inlineStr">
        <is>
          <t>BLASTX</t>
        </is>
      </c>
      <c r="N26" s="34" t="inlineStr">
        <is>
          <t>96.86</t>
        </is>
      </c>
      <c r="O26" s="34" t="inlineStr">
        <is>
          <t>100.00</t>
        </is>
      </c>
      <c r="P26" s="34" t="inlineStr">
        <is>
          <t>contig00095</t>
        </is>
      </c>
      <c r="Q26" s="34" t="inlineStr">
        <is>
          <t>mcr-1.1</t>
        </is>
      </c>
      <c r="R26" s="34" t="inlineStr">
        <is>
          <t>mcr-1.1_1</t>
        </is>
      </c>
      <c r="S26" s="34" t="inlineStr">
        <is>
          <t>none</t>
        </is>
      </c>
      <c r="T26" s="34" t="inlineStr">
        <is>
          <t>plasmid</t>
        </is>
      </c>
      <c r="U26" s="34" t="inlineStr">
        <is>
          <t>rep_cluster_1088,IncHI2A</t>
        </is>
      </c>
      <c r="V26" s="34" t="inlineStr">
        <is>
          <t>MOBH</t>
        </is>
      </c>
      <c r="W26" s="35" t="n">
        <v>257650</v>
      </c>
      <c r="X26" s="34" t="inlineStr">
        <is>
          <t>3941</t>
        </is>
      </c>
      <c r="Y26" s="34" t="inlineStr">
        <is>
          <t>adk(6) fumC(511) gyrB(4) icd(10) mdh(7) purA(8) recA(6)</t>
        </is>
      </c>
      <c r="Z26" s="34" t="inlineStr">
        <is>
          <t>IncB/O/K/Z_4, IncFIA_1, IncFIB(AP001918)_1, IncFIC(FII)_1, IncHI2A_1, IncHI2_1, IncI1_1_Alpha, IncI2_1_Delta, p0111_1</t>
        </is>
      </c>
    </row>
    <row r="27" ht="15" customHeight="1" s="20">
      <c r="A27" s="34" t="inlineStr">
        <is>
          <t>SAMN47596259</t>
        </is>
      </c>
      <c r="B27" s="34" t="inlineStr">
        <is>
          <t>SRR32899008</t>
        </is>
      </c>
      <c r="C27" s="34" t="inlineStr">
        <is>
          <t>A (reads, Shovill)</t>
        </is>
      </c>
      <c r="D27" s="35" t="n">
        <v>2044251292</v>
      </c>
      <c r="E27" s="36">
        <f>IF(D27="","",D27/5100000)</f>
        <v/>
      </c>
      <c r="F27" s="35" t="n">
        <v>282</v>
      </c>
      <c r="G27" s="35" t="n">
        <v>5621828</v>
      </c>
      <c r="H27" s="35" t="n">
        <v>115903</v>
      </c>
      <c r="I27" s="34" t="n">
        <v>50.28</v>
      </c>
      <c r="J27" s="34" t="inlineStr">
        <is>
          <t>Pass</t>
        </is>
      </c>
      <c r="K27" s="34" t="inlineStr">
        <is>
          <t>mcr-1.1</t>
        </is>
      </c>
      <c r="L27" s="34" t="inlineStr">
        <is>
          <t>mcr-1</t>
        </is>
      </c>
      <c r="M27" s="34" t="inlineStr">
        <is>
          <t>BLASTX</t>
        </is>
      </c>
      <c r="N27" s="34" t="inlineStr">
        <is>
          <t>96.86</t>
        </is>
      </c>
      <c r="O27" s="34" t="inlineStr">
        <is>
          <t>100.00</t>
        </is>
      </c>
      <c r="P27" s="34" t="inlineStr">
        <is>
          <t>contig00091</t>
        </is>
      </c>
      <c r="Q27" s="34" t="inlineStr">
        <is>
          <t>mcr-1.1</t>
        </is>
      </c>
      <c r="R27" s="34" t="inlineStr">
        <is>
          <t>mcr-1.1_1</t>
        </is>
      </c>
      <c r="S27" s="34" t="inlineStr">
        <is>
          <t>none</t>
        </is>
      </c>
      <c r="T27" s="34" t="inlineStr">
        <is>
          <t>plasmid</t>
        </is>
      </c>
      <c r="U27" s="34" t="inlineStr">
        <is>
          <t>rep_cluster_1088,IncHI2A</t>
        </is>
      </c>
      <c r="V27" s="34" t="inlineStr">
        <is>
          <t>MOBH</t>
        </is>
      </c>
      <c r="W27" s="35" t="n">
        <v>256806</v>
      </c>
      <c r="X27" s="34" t="inlineStr">
        <is>
          <t>3941</t>
        </is>
      </c>
      <c r="Y27" s="34" t="inlineStr">
        <is>
          <t>adk(6) fumC(511) gyrB(4) icd(10) mdh(7) purA(8) recA(6)</t>
        </is>
      </c>
      <c r="Z27" s="34" t="inlineStr">
        <is>
          <t>IncB/O/K/Z_4, IncFIA_1, IncFIB(AP001918)_1, IncFIC(FII)_1, IncHI2A_1, IncHI2_1, IncI1_1_Alpha, IncI2_1_Delta, p0111_1</t>
        </is>
      </c>
    </row>
    <row r="28" ht="15" customHeight="1" s="20">
      <c r="A28" s="34" t="inlineStr">
        <is>
          <t>SAMN47596263</t>
        </is>
      </c>
      <c r="B28" s="34" t="inlineStr">
        <is>
          <t>SRR32898997</t>
        </is>
      </c>
      <c r="C28" s="34" t="inlineStr">
        <is>
          <t>A (reads, Shovill)</t>
        </is>
      </c>
      <c r="D28" s="35" t="n">
        <v>3122382561</v>
      </c>
      <c r="E28" s="36">
        <f>IF(D28="","",D28/5100000)</f>
        <v/>
      </c>
      <c r="F28" s="35" t="n">
        <v>215</v>
      </c>
      <c r="G28" s="35" t="n">
        <v>5401086</v>
      </c>
      <c r="H28" s="35" t="n">
        <v>218079</v>
      </c>
      <c r="I28" s="34" t="n">
        <v>50.41</v>
      </c>
      <c r="J28" s="34" t="inlineStr">
        <is>
          <t>Pass</t>
        </is>
      </c>
      <c r="K28" s="34" t="inlineStr">
        <is>
          <t>mcr-1.1</t>
        </is>
      </c>
      <c r="L28" s="34" t="inlineStr">
        <is>
          <t>mcr-1.1</t>
        </is>
      </c>
      <c r="M28" s="34" t="inlineStr">
        <is>
          <t>ALLELEX</t>
        </is>
      </c>
      <c r="N28" s="34" t="inlineStr">
        <is>
          <t>100.00</t>
        </is>
      </c>
      <c r="O28" s="34" t="inlineStr">
        <is>
          <t>100.00</t>
        </is>
      </c>
      <c r="P28" s="34" t="inlineStr">
        <is>
          <t>contig00032</t>
        </is>
      </c>
      <c r="Q28" s="34" t="inlineStr">
        <is>
          <t>mcr-1.1</t>
        </is>
      </c>
      <c r="R28" s="34" t="inlineStr">
        <is>
          <t>mcr-1.1_1</t>
        </is>
      </c>
      <c r="S28" s="34" t="inlineStr">
        <is>
          <t>IncX4_1</t>
        </is>
      </c>
      <c r="T28" s="34" t="n"/>
      <c r="U28" s="34" t="n"/>
      <c r="V28" s="34" t="n"/>
      <c r="W28" s="35" t="n"/>
      <c r="X28" s="34" t="inlineStr">
        <is>
          <t>6448</t>
        </is>
      </c>
      <c r="Y28" s="34" t="inlineStr">
        <is>
          <t>adk(6) fumC(4) gyrB(32) icd(1) mdh(9) purA(8) recA(6)</t>
        </is>
      </c>
      <c r="Z28" s="34" t="inlineStr">
        <is>
          <t>IncFIA_1, IncFIB(AP001918)_1, IncFIC(FII)_1, IncI1_1_Alpha, IncX4_1, p0111_1</t>
        </is>
      </c>
    </row>
    <row r="29" ht="15" customHeight="1" s="20">
      <c r="A29" s="34" t="inlineStr">
        <is>
          <t>SAMN47476602</t>
        </is>
      </c>
      <c r="B29" s="34" t="inlineStr">
        <is>
          <t>GCA_051305755.1</t>
        </is>
      </c>
      <c r="C29" s="34" t="inlineStr">
        <is>
          <t>B (GenBank assembly)</t>
        </is>
      </c>
      <c r="D29" s="35" t="n"/>
      <c r="E29" s="36">
        <f>IF(D29="","",D29/5100000)</f>
        <v/>
      </c>
      <c r="F29" s="35" t="n">
        <v>8</v>
      </c>
      <c r="G29" s="35" t="n">
        <v>5349759</v>
      </c>
      <c r="H29" s="35" t="n">
        <v>4899910</v>
      </c>
      <c r="I29" s="34" t="n">
        <v>50.71</v>
      </c>
      <c r="J29" s="34" t="inlineStr">
        <is>
          <t>Pass</t>
        </is>
      </c>
      <c r="K29" s="34" t="inlineStr">
        <is>
          <t>mcr-1.1</t>
        </is>
      </c>
      <c r="L29" s="34" t="inlineStr">
        <is>
          <t>mcr-1.1</t>
        </is>
      </c>
      <c r="M29" s="34" t="inlineStr">
        <is>
          <t>ALLELEX</t>
        </is>
      </c>
      <c r="N29" s="34" t="inlineStr">
        <is>
          <t>100.00</t>
        </is>
      </c>
      <c r="O29" s="34" t="inlineStr">
        <is>
          <t>100.00</t>
        </is>
      </c>
      <c r="P29" s="34" t="inlineStr">
        <is>
          <t>JBPPKP010000005.1</t>
        </is>
      </c>
      <c r="Q29" s="34" t="inlineStr">
        <is>
          <t>mcr-1.1</t>
        </is>
      </c>
      <c r="R29" s="34" t="inlineStr">
        <is>
          <t>mcr-1.1_1</t>
        </is>
      </c>
      <c r="S29" s="34" t="inlineStr">
        <is>
          <t>IncI2_1_Delta</t>
        </is>
      </c>
      <c r="T29" s="34" t="n"/>
      <c r="U29" s="34" t="n"/>
      <c r="V29" s="34" t="n"/>
      <c r="W29" s="35" t="n"/>
      <c r="X29" s="34" t="inlineStr">
        <is>
          <t>224</t>
        </is>
      </c>
      <c r="Y29" s="34" t="inlineStr">
        <is>
          <t>adk(6) fumC(4) gyrB(33) icd(16) mdh(11) purA(8) recA(6)</t>
        </is>
      </c>
      <c r="Z29" s="34" t="inlineStr">
        <is>
          <t>IncFIB(AP001918)_1, IncFII_1, IncI1_1_Alpha, IncI2_1_Delta</t>
        </is>
      </c>
    </row>
    <row r="30" ht="15" customHeight="1" s="20">
      <c r="A30" s="34" t="inlineStr">
        <is>
          <t>SAMN48947222</t>
        </is>
      </c>
      <c r="B30" s="34" t="inlineStr">
        <is>
          <t>GCA_050939535.1</t>
        </is>
      </c>
      <c r="C30" s="34" t="inlineStr">
        <is>
          <t>B (GenBank assembly)</t>
        </is>
      </c>
      <c r="D30" s="35" t="n"/>
      <c r="E30" s="36">
        <f>IF(D30="","",D30/5100000)</f>
        <v/>
      </c>
      <c r="F30" s="35" t="n">
        <v>127</v>
      </c>
      <c r="G30" s="35" t="n">
        <v>5156199</v>
      </c>
      <c r="H30" s="35" t="n">
        <v>148018</v>
      </c>
      <c r="I30" s="34" t="n">
        <v>50.48</v>
      </c>
      <c r="J30" s="34" t="inlineStr">
        <is>
          <t>Pass</t>
        </is>
      </c>
      <c r="K30" s="34" t="inlineStr">
        <is>
          <t>mcr-1.1</t>
        </is>
      </c>
      <c r="L30" s="34" t="inlineStr">
        <is>
          <t>mcr-1.1</t>
        </is>
      </c>
      <c r="M30" s="34" t="inlineStr">
        <is>
          <t>ALLELEX</t>
        </is>
      </c>
      <c r="N30" s="34" t="inlineStr">
        <is>
          <t>100.00</t>
        </is>
      </c>
      <c r="O30" s="34" t="inlineStr">
        <is>
          <t>100.00</t>
        </is>
      </c>
      <c r="P30" s="34" t="inlineStr">
        <is>
          <t>JBPBRY010000027.1</t>
        </is>
      </c>
      <c r="Q30" s="34" t="inlineStr">
        <is>
          <t>mcr-1.1</t>
        </is>
      </c>
      <c r="R30" s="34" t="inlineStr">
        <is>
          <t>mcr-1.1_1</t>
        </is>
      </c>
      <c r="S30" s="34" t="inlineStr">
        <is>
          <t>IncI2_1_Delta</t>
        </is>
      </c>
      <c r="T30" s="34" t="n"/>
      <c r="U30" s="34" t="n"/>
      <c r="V30" s="34" t="n"/>
      <c r="W30" s="35" t="n"/>
      <c r="X30" s="34" t="inlineStr">
        <is>
          <t>616</t>
        </is>
      </c>
      <c r="Y30" s="34" t="inlineStr">
        <is>
          <t>adk(6) fumC(4) gyrB(12) icd(16) mdh(24) purA(8) recA(14)</t>
        </is>
      </c>
      <c r="Z30" s="34" t="inlineStr">
        <is>
          <t>IncFIB(AP001918)_1, IncFIC(FII)_1, IncI1_1_Alpha, IncI2_1_Delta</t>
        </is>
      </c>
    </row>
    <row r="31" ht="15" customHeight="1" s="20">
      <c r="A31" s="34" t="inlineStr">
        <is>
          <t>SAMN48947229</t>
        </is>
      </c>
      <c r="B31" s="34" t="inlineStr">
        <is>
          <t>GCA_050939515.1</t>
        </is>
      </c>
      <c r="C31" s="34" t="inlineStr">
        <is>
          <t>B (GenBank assembly)</t>
        </is>
      </c>
      <c r="D31" s="35" t="n"/>
      <c r="E31" s="36">
        <f>IF(D31="","",D31/5100000)</f>
        <v/>
      </c>
      <c r="F31" s="35" t="n">
        <v>185</v>
      </c>
      <c r="G31" s="35" t="n">
        <v>5131111</v>
      </c>
      <c r="H31" s="35" t="n">
        <v>93748</v>
      </c>
      <c r="I31" s="34" t="n">
        <v>50.44</v>
      </c>
      <c r="J31" s="34" t="inlineStr">
        <is>
          <t>Pass</t>
        </is>
      </c>
      <c r="K31" s="34" t="inlineStr">
        <is>
          <t>mcr-1.1</t>
        </is>
      </c>
      <c r="L31" s="34" t="inlineStr">
        <is>
          <t>mcr-1.1</t>
        </is>
      </c>
      <c r="M31" s="34" t="inlineStr">
        <is>
          <t>ALLELEX</t>
        </is>
      </c>
      <c r="N31" s="34" t="inlineStr">
        <is>
          <t>100.00</t>
        </is>
      </c>
      <c r="O31" s="34" t="inlineStr">
        <is>
          <t>100.00</t>
        </is>
      </c>
      <c r="P31" s="34" t="inlineStr">
        <is>
          <t>JBPBRR010000058.1</t>
        </is>
      </c>
      <c r="Q31" s="34" t="inlineStr">
        <is>
          <t>mcr-1.1</t>
        </is>
      </c>
      <c r="R31" s="34" t="inlineStr">
        <is>
          <t>mcr-1.1_1</t>
        </is>
      </c>
      <c r="S31" s="34" t="inlineStr">
        <is>
          <t>none</t>
        </is>
      </c>
      <c r="T31" s="34" t="inlineStr">
        <is>
          <t>plasmid</t>
        </is>
      </c>
      <c r="U31" s="34" t="inlineStr">
        <is>
          <t>IncI2</t>
        </is>
      </c>
      <c r="V31" s="34" t="inlineStr">
        <is>
          <t>MOBP</t>
        </is>
      </c>
      <c r="W31" s="35" t="n">
        <v>65398</v>
      </c>
      <c r="X31" s="34" t="inlineStr">
        <is>
          <t>93</t>
        </is>
      </c>
      <c r="Y31" s="34" t="inlineStr">
        <is>
          <t>adk(6) fumC(11) gyrB(4) icd(10) mdh(7) purA(8) recA(6)</t>
        </is>
      </c>
      <c r="Z31" s="34" t="inlineStr">
        <is>
          <t>IncFIB(AP001918)_1, IncI2_1_Delta</t>
        </is>
      </c>
    </row>
    <row r="32" ht="15" customHeight="1" s="20">
      <c r="A32" s="34" t="inlineStr">
        <is>
          <t>SAMN48947223</t>
        </is>
      </c>
      <c r="B32" s="34" t="inlineStr">
        <is>
          <t>GCA_050939415.1</t>
        </is>
      </c>
      <c r="C32" s="34" t="inlineStr">
        <is>
          <t>B (GenBank assembly)</t>
        </is>
      </c>
      <c r="D32" s="35" t="n"/>
      <c r="E32" s="36">
        <f>IF(D32="","",D32/5100000)</f>
        <v/>
      </c>
      <c r="F32" s="35" t="n">
        <v>232</v>
      </c>
      <c r="G32" s="35" t="n">
        <v>5471908</v>
      </c>
      <c r="H32" s="35" t="n">
        <v>88795</v>
      </c>
      <c r="I32" s="34" t="n">
        <v>50.3</v>
      </c>
      <c r="J32" s="34" t="inlineStr">
        <is>
          <t>Pass</t>
        </is>
      </c>
      <c r="K32" s="34" t="inlineStr">
        <is>
          <t>mcr-1.1</t>
        </is>
      </c>
      <c r="L32" s="34" t="inlineStr">
        <is>
          <t>mcr-1.1</t>
        </is>
      </c>
      <c r="M32" s="34" t="inlineStr">
        <is>
          <t>ALLELEX</t>
        </is>
      </c>
      <c r="N32" s="34" t="inlineStr">
        <is>
          <t>100.00</t>
        </is>
      </c>
      <c r="O32" s="34" t="inlineStr">
        <is>
          <t>100.00</t>
        </is>
      </c>
      <c r="P32" s="34" t="inlineStr">
        <is>
          <t>JBPBRX010000033.1</t>
        </is>
      </c>
      <c r="Q32" s="34" t="inlineStr">
        <is>
          <t>mcr-1.1</t>
        </is>
      </c>
      <c r="R32" s="34" t="inlineStr">
        <is>
          <t>mcr-1.1_1</t>
        </is>
      </c>
      <c r="S32" s="34" t="inlineStr">
        <is>
          <t>IncI2_1_Delta</t>
        </is>
      </c>
      <c r="T32" s="34" t="n"/>
      <c r="U32" s="34" t="n"/>
      <c r="V32" s="34" t="n"/>
      <c r="W32" s="35" t="n"/>
      <c r="X32" s="34" t="inlineStr">
        <is>
          <t>101</t>
        </is>
      </c>
      <c r="Y32" s="34" t="inlineStr">
        <is>
          <t>adk(43) fumC(41) gyrB(15) icd(18) mdh(11) purA(7) recA(6)</t>
        </is>
      </c>
      <c r="Z32" s="34" t="inlineStr">
        <is>
          <t>IncFIB(AP001918)_1, IncFIC(FII)_1, IncI2_1_Delta, IncX1_4, p0111_1</t>
        </is>
      </c>
    </row>
    <row r="33" ht="15" customHeight="1" s="20">
      <c r="A33" s="34" t="inlineStr">
        <is>
          <t>SAMN48947225</t>
        </is>
      </c>
      <c r="B33" s="34" t="inlineStr">
        <is>
          <t>GCA_050939375.1</t>
        </is>
      </c>
      <c r="C33" s="34" t="inlineStr">
        <is>
          <t>B (GenBank assembly)</t>
        </is>
      </c>
      <c r="D33" s="35" t="n"/>
      <c r="E33" s="36">
        <f>IF(D33="","",D33/5100000)</f>
        <v/>
      </c>
      <c r="F33" s="35" t="n">
        <v>146</v>
      </c>
      <c r="G33" s="35" t="n">
        <v>5164622</v>
      </c>
      <c r="H33" s="35" t="n">
        <v>133594</v>
      </c>
      <c r="I33" s="34" t="n">
        <v>50.49</v>
      </c>
      <c r="J33" s="34" t="inlineStr">
        <is>
          <t>Pass</t>
        </is>
      </c>
      <c r="K33" s="34" t="inlineStr">
        <is>
          <t>mcr-1.1</t>
        </is>
      </c>
      <c r="L33" s="34" t="inlineStr">
        <is>
          <t>mcr-1.1</t>
        </is>
      </c>
      <c r="M33" s="34" t="inlineStr">
        <is>
          <t>ALLELEX</t>
        </is>
      </c>
      <c r="N33" s="34" t="inlineStr">
        <is>
          <t>100.00</t>
        </is>
      </c>
      <c r="O33" s="34" t="inlineStr">
        <is>
          <t>100.00</t>
        </is>
      </c>
      <c r="P33" s="34" t="inlineStr">
        <is>
          <t>JBPBRV010000028.1</t>
        </is>
      </c>
      <c r="Q33" s="34" t="inlineStr">
        <is>
          <t>mcr-1.1</t>
        </is>
      </c>
      <c r="R33" s="34" t="inlineStr">
        <is>
          <t>mcr-1.1_1</t>
        </is>
      </c>
      <c r="S33" s="34" t="inlineStr">
        <is>
          <t>IncI2_1_Delta</t>
        </is>
      </c>
      <c r="T33" s="34" t="n"/>
      <c r="U33" s="34" t="n"/>
      <c r="V33" s="34" t="n"/>
      <c r="W33" s="35" t="n"/>
      <c r="X33" s="34" t="inlineStr">
        <is>
          <t>616</t>
        </is>
      </c>
      <c r="Y33" s="34" t="inlineStr">
        <is>
          <t>adk(6) fumC(4) gyrB(12) icd(16) mdh(24) purA(8) recA(14)</t>
        </is>
      </c>
      <c r="Z33" s="34" t="inlineStr">
        <is>
          <t>IncFIB(AP001918)_1, IncFIC(FII)_1, IncI1_1_Alpha, IncI2_1_Delta</t>
        </is>
      </c>
    </row>
    <row r="34" ht="15" customHeight="1" s="20">
      <c r="A34" s="34" t="inlineStr">
        <is>
          <t>SAMN48947216</t>
        </is>
      </c>
      <c r="B34" s="34" t="inlineStr">
        <is>
          <t>GCA_050939335.1</t>
        </is>
      </c>
      <c r="C34" s="34" t="inlineStr">
        <is>
          <t>B (GenBank assembly)</t>
        </is>
      </c>
      <c r="D34" s="35" t="n"/>
      <c r="E34" s="36">
        <f>IF(D34="","",D34/5100000)</f>
        <v/>
      </c>
      <c r="F34" s="35" t="n">
        <v>123</v>
      </c>
      <c r="G34" s="35" t="n">
        <v>5159682</v>
      </c>
      <c r="H34" s="35" t="n">
        <v>185478</v>
      </c>
      <c r="I34" s="34" t="n">
        <v>50.48</v>
      </c>
      <c r="J34" s="34" t="inlineStr">
        <is>
          <t>Pass</t>
        </is>
      </c>
      <c r="K34" s="34" t="inlineStr">
        <is>
          <t>mcr-1.1</t>
        </is>
      </c>
      <c r="L34" s="34" t="inlineStr">
        <is>
          <t>mcr-1.1</t>
        </is>
      </c>
      <c r="M34" s="34" t="inlineStr">
        <is>
          <t>ALLELEX</t>
        </is>
      </c>
      <c r="N34" s="34" t="inlineStr">
        <is>
          <t>100.00</t>
        </is>
      </c>
      <c r="O34" s="34" t="inlineStr">
        <is>
          <t>100.00</t>
        </is>
      </c>
      <c r="P34" s="34" t="inlineStr">
        <is>
          <t>JBPBSE010000026.1</t>
        </is>
      </c>
      <c r="Q34" s="34" t="inlineStr">
        <is>
          <t>mcr-1.1</t>
        </is>
      </c>
      <c r="R34" s="34" t="inlineStr">
        <is>
          <t>mcr-1.1_1</t>
        </is>
      </c>
      <c r="S34" s="34" t="inlineStr">
        <is>
          <t>IncI2_1_Delta</t>
        </is>
      </c>
      <c r="T34" s="34" t="n"/>
      <c r="U34" s="34" t="n"/>
      <c r="V34" s="34" t="n"/>
      <c r="W34" s="35" t="n"/>
      <c r="X34" s="34" t="inlineStr">
        <is>
          <t>616</t>
        </is>
      </c>
      <c r="Y34" s="34" t="inlineStr">
        <is>
          <t>adk(6) fumC(4) gyrB(12) icd(16) mdh(24) purA(8) recA(14)</t>
        </is>
      </c>
      <c r="Z34" s="34" t="inlineStr">
        <is>
          <t>IncFIB(AP001918)_1, IncFIC(FII)_1, IncI1_1_Alpha, IncI2_1_Delta</t>
        </is>
      </c>
    </row>
    <row r="35" ht="15" customHeight="1" s="20">
      <c r="A35" s="34" t="inlineStr">
        <is>
          <t>SAMN48947220</t>
        </is>
      </c>
      <c r="B35" s="34" t="inlineStr">
        <is>
          <t>GCA_050939315.1</t>
        </is>
      </c>
      <c r="C35" s="34" t="inlineStr">
        <is>
          <t>B (GenBank assembly)</t>
        </is>
      </c>
      <c r="D35" s="35" t="n"/>
      <c r="E35" s="36">
        <f>IF(D35="","",D35/5100000)</f>
        <v/>
      </c>
      <c r="F35" s="35" t="n">
        <v>164</v>
      </c>
      <c r="G35" s="35" t="n">
        <v>5173640</v>
      </c>
      <c r="H35" s="35" t="n">
        <v>173256</v>
      </c>
      <c r="I35" s="34" t="n">
        <v>50.49</v>
      </c>
      <c r="J35" s="34" t="inlineStr">
        <is>
          <t>Pass</t>
        </is>
      </c>
      <c r="K35" s="34" t="inlineStr">
        <is>
          <t>mcr-1.1</t>
        </is>
      </c>
      <c r="L35" s="34" t="inlineStr">
        <is>
          <t>mcr-1.1</t>
        </is>
      </c>
      <c r="M35" s="34" t="inlineStr">
        <is>
          <t>ALLELEX</t>
        </is>
      </c>
      <c r="N35" s="34" t="inlineStr">
        <is>
          <t>100.00</t>
        </is>
      </c>
      <c r="O35" s="34" t="inlineStr">
        <is>
          <t>100.00</t>
        </is>
      </c>
      <c r="P35" s="34" t="inlineStr">
        <is>
          <t>JBPBSA010000057.1</t>
        </is>
      </c>
      <c r="Q35" s="34" t="inlineStr">
        <is>
          <t>mcr-1.1</t>
        </is>
      </c>
      <c r="R35" s="34" t="inlineStr">
        <is>
          <t>mcr-1.1_1</t>
        </is>
      </c>
      <c r="S35" s="34" t="inlineStr">
        <is>
          <t>none</t>
        </is>
      </c>
      <c r="T35" s="34" t="inlineStr">
        <is>
          <t>plasmid</t>
        </is>
      </c>
      <c r="U35" s="34" t="inlineStr">
        <is>
          <t>IncI2</t>
        </is>
      </c>
      <c r="V35" s="34" t="inlineStr">
        <is>
          <t>MOBP</t>
        </is>
      </c>
      <c r="W35" s="35" t="n">
        <v>59875</v>
      </c>
      <c r="X35" s="34" t="inlineStr">
        <is>
          <t>616</t>
        </is>
      </c>
      <c r="Y35" s="34" t="inlineStr">
        <is>
          <t>adk(6) fumC(4) gyrB(12) icd(16) mdh(24) purA(8) recA(14)</t>
        </is>
      </c>
      <c r="Z35" s="34" t="inlineStr">
        <is>
          <t>IncFIB(AP001918)_1, IncFIC(FII)_1, IncI1_1_Alpha, IncI2_1_Delta</t>
        </is>
      </c>
    </row>
    <row r="36" ht="15" customHeight="1" s="20">
      <c r="A36" s="34" t="inlineStr">
        <is>
          <t>SAMN48947210</t>
        </is>
      </c>
      <c r="B36" s="34" t="inlineStr">
        <is>
          <t>GCA_050939295.1</t>
        </is>
      </c>
      <c r="C36" s="34" t="inlineStr">
        <is>
          <t>B (GenBank assembly)</t>
        </is>
      </c>
      <c r="D36" s="35" t="n"/>
      <c r="E36" s="36">
        <f>IF(D36="","",D36/5100000)</f>
        <v/>
      </c>
      <c r="F36" s="35" t="n">
        <v>97</v>
      </c>
      <c r="G36" s="35" t="n">
        <v>5442309</v>
      </c>
      <c r="H36" s="35" t="n">
        <v>160203</v>
      </c>
      <c r="I36" s="34" t="n">
        <v>49.37</v>
      </c>
      <c r="J36" s="34" t="inlineStr">
        <is>
          <t>Pass</t>
        </is>
      </c>
      <c r="K36" s="34" t="inlineStr">
        <is>
          <t>mcr-1.1</t>
        </is>
      </c>
      <c r="L36" s="34" t="inlineStr">
        <is>
          <t>mcr-1.1</t>
        </is>
      </c>
      <c r="M36" s="34" t="inlineStr">
        <is>
          <t>ALLELEX</t>
        </is>
      </c>
      <c r="N36" s="34" t="inlineStr">
        <is>
          <t>100.00</t>
        </is>
      </c>
      <c r="O36" s="34" t="inlineStr">
        <is>
          <t>100.00</t>
        </is>
      </c>
      <c r="P36" s="34" t="inlineStr">
        <is>
          <t>JBPBSK010000030.1</t>
        </is>
      </c>
      <c r="Q36" s="34" t="inlineStr">
        <is>
          <t>mcr-1.1</t>
        </is>
      </c>
      <c r="R36" s="34" t="inlineStr">
        <is>
          <t>mcr-1.1_1</t>
        </is>
      </c>
      <c r="S36" s="34" t="inlineStr">
        <is>
          <t>IncI2_1_Delta</t>
        </is>
      </c>
      <c r="T36" s="34" t="n"/>
      <c r="U36" s="34" t="n"/>
      <c r="V36" s="34" t="n"/>
      <c r="W36" s="35" t="n"/>
      <c r="X36" s="34" t="inlineStr">
        <is>
          <t>354</t>
        </is>
      </c>
      <c r="Y36" s="34" t="inlineStr">
        <is>
          <t>adk(85) fumC(88) gyrB(78) icd(29) mdh(59) purA(58) recA(62)</t>
        </is>
      </c>
      <c r="Z36" s="34" t="inlineStr">
        <is>
          <t>IncI2_1_Delta, IncQ1_1</t>
        </is>
      </c>
    </row>
    <row r="37" ht="15" customHeight="1" s="20">
      <c r="A37" s="34" t="inlineStr">
        <is>
          <t>SAMN48947221</t>
        </is>
      </c>
      <c r="B37" s="34" t="inlineStr">
        <is>
          <t>GCA_050939235.1</t>
        </is>
      </c>
      <c r="C37" s="34" t="inlineStr">
        <is>
          <t>B (GenBank assembly)</t>
        </is>
      </c>
      <c r="D37" s="35" t="n"/>
      <c r="E37" s="36">
        <f>IF(D37="","",D37/5100000)</f>
        <v/>
      </c>
      <c r="F37" s="35" t="n">
        <v>209</v>
      </c>
      <c r="G37" s="35" t="n">
        <v>5456559</v>
      </c>
      <c r="H37" s="35" t="n">
        <v>89608</v>
      </c>
      <c r="I37" s="34" t="n">
        <v>50.3</v>
      </c>
      <c r="J37" s="34" t="inlineStr">
        <is>
          <t>Pass</t>
        </is>
      </c>
      <c r="K37" s="34" t="inlineStr">
        <is>
          <t>mcr-1.1</t>
        </is>
      </c>
      <c r="L37" s="34" t="inlineStr">
        <is>
          <t>mcr-1.1</t>
        </is>
      </c>
      <c r="M37" s="34" t="inlineStr">
        <is>
          <t>ALLELEX</t>
        </is>
      </c>
      <c r="N37" s="34" t="inlineStr">
        <is>
          <t>100.00</t>
        </is>
      </c>
      <c r="O37" s="34" t="inlineStr">
        <is>
          <t>100.00</t>
        </is>
      </c>
      <c r="P37" s="34" t="inlineStr">
        <is>
          <t>JBPBRZ010000032.1</t>
        </is>
      </c>
      <c r="Q37" s="34" t="inlineStr">
        <is>
          <t>mcr-1.1</t>
        </is>
      </c>
      <c r="R37" s="34" t="inlineStr">
        <is>
          <t>mcr-1.1_1</t>
        </is>
      </c>
      <c r="S37" s="34" t="inlineStr">
        <is>
          <t>IncI2_1_Delta</t>
        </is>
      </c>
      <c r="T37" s="34" t="n"/>
      <c r="U37" s="34" t="n"/>
      <c r="V37" s="34" t="n"/>
      <c r="W37" s="35" t="n"/>
      <c r="X37" s="34" t="inlineStr">
        <is>
          <t>101</t>
        </is>
      </c>
      <c r="Y37" s="34" t="inlineStr">
        <is>
          <t>adk(43) fumC(41) gyrB(15) icd(18) mdh(11) purA(7) recA(6)</t>
        </is>
      </c>
      <c r="Z37" s="34" t="inlineStr">
        <is>
          <t>IncFIB(AP001918)_1, IncFIC(FII)_1, IncI2_1_Delta, IncX1_4, p0111_1</t>
        </is>
      </c>
    </row>
    <row r="38" ht="15" customHeight="1" s="20">
      <c r="A38" s="34" t="inlineStr">
        <is>
          <t>SAMN48947182</t>
        </is>
      </c>
      <c r="B38" s="34" t="inlineStr">
        <is>
          <t>GCA_050939215.1</t>
        </is>
      </c>
      <c r="C38" s="34" t="inlineStr">
        <is>
          <t>B (GenBank assembly)</t>
        </is>
      </c>
      <c r="D38" s="35" t="n"/>
      <c r="E38" s="36">
        <f>IF(D38="","",D38/5100000)</f>
        <v/>
      </c>
      <c r="F38" s="35" t="n">
        <v>131</v>
      </c>
      <c r="G38" s="35" t="n">
        <v>5124396</v>
      </c>
      <c r="H38" s="35" t="n">
        <v>148457</v>
      </c>
      <c r="I38" s="34" t="n">
        <v>50.67</v>
      </c>
      <c r="J38" s="34" t="inlineStr">
        <is>
          <t>Pass</t>
        </is>
      </c>
      <c r="K38" s="34" t="inlineStr">
        <is>
          <t>mcr-1.1</t>
        </is>
      </c>
      <c r="L38" s="34" t="inlineStr">
        <is>
          <t>mcr-1.1</t>
        </is>
      </c>
      <c r="M38" s="34" t="inlineStr">
        <is>
          <t>ALLELEX</t>
        </is>
      </c>
      <c r="N38" s="34" t="inlineStr">
        <is>
          <t>100.00</t>
        </is>
      </c>
      <c r="O38" s="34" t="inlineStr">
        <is>
          <t>100.00</t>
        </is>
      </c>
      <c r="P38" s="34" t="inlineStr">
        <is>
          <t>JBPBTM010000028.1</t>
        </is>
      </c>
      <c r="Q38" s="34" t="inlineStr">
        <is>
          <t>mcr-1.1</t>
        </is>
      </c>
      <c r="R38" s="34" t="inlineStr">
        <is>
          <t>mcr-1.1_1</t>
        </is>
      </c>
      <c r="S38" s="34" t="inlineStr">
        <is>
          <t>IncI2_1</t>
        </is>
      </c>
      <c r="T38" s="34" t="n"/>
      <c r="U38" s="34" t="n"/>
      <c r="V38" s="34" t="n"/>
      <c r="W38" s="35" t="n"/>
      <c r="X38" s="34" t="inlineStr">
        <is>
          <t>162</t>
        </is>
      </c>
      <c r="Y38" s="34" t="inlineStr">
        <is>
          <t>adk(9) fumC(65) gyrB(5) icd(1) mdh(9) purA(13) recA(6)</t>
        </is>
      </c>
      <c r="Z38" s="34" t="inlineStr">
        <is>
          <t>IncFIB(AP001918)_1, IncFIC(FII)_1, IncFII(pCoo)_1_pCoo, IncI2_1, IncY_1</t>
        </is>
      </c>
    </row>
    <row r="39" ht="15" customHeight="1" s="20">
      <c r="A39" s="34" t="inlineStr">
        <is>
          <t>SAMN48947184</t>
        </is>
      </c>
      <c r="B39" s="34" t="inlineStr">
        <is>
          <t>GCA_050939195.1</t>
        </is>
      </c>
      <c r="C39" s="34" t="inlineStr">
        <is>
          <t>B (GenBank assembly)</t>
        </is>
      </c>
      <c r="D39" s="35" t="n"/>
      <c r="E39" s="36">
        <f>IF(D39="","",D39/5100000)</f>
        <v/>
      </c>
      <c r="F39" s="35" t="n">
        <v>179</v>
      </c>
      <c r="G39" s="35" t="n">
        <v>5178776</v>
      </c>
      <c r="H39" s="35" t="n">
        <v>130593</v>
      </c>
      <c r="I39" s="34" t="n">
        <v>50.62</v>
      </c>
      <c r="J39" s="34" t="inlineStr">
        <is>
          <t>Pass</t>
        </is>
      </c>
      <c r="K39" s="34" t="inlineStr">
        <is>
          <t>mcr-1.1</t>
        </is>
      </c>
      <c r="L39" s="34" t="inlineStr">
        <is>
          <t>mcr-1.1</t>
        </is>
      </c>
      <c r="M39" s="34" t="inlineStr">
        <is>
          <t>ALLELEX</t>
        </is>
      </c>
      <c r="N39" s="34" t="inlineStr">
        <is>
          <t>100.00</t>
        </is>
      </c>
      <c r="O39" s="34" t="inlineStr">
        <is>
          <t>100.00</t>
        </is>
      </c>
      <c r="P39" s="34" t="inlineStr">
        <is>
          <t>JBPBTK010000028.1</t>
        </is>
      </c>
      <c r="Q39" s="34" t="inlineStr">
        <is>
          <t>mcr-1.1</t>
        </is>
      </c>
      <c r="R39" s="34" t="inlineStr">
        <is>
          <t>mcr-1.1_1</t>
        </is>
      </c>
      <c r="S39" s="34" t="inlineStr">
        <is>
          <t>IncI2_1_Delta</t>
        </is>
      </c>
      <c r="T39" s="34" t="n"/>
      <c r="U39" s="34" t="n"/>
      <c r="V39" s="34" t="n"/>
      <c r="W39" s="35" t="n"/>
      <c r="X39" s="34" t="inlineStr">
        <is>
          <t>117</t>
        </is>
      </c>
      <c r="Y39" s="34" t="inlineStr">
        <is>
          <t>adk(20) fumC(45) gyrB(41) icd(43) mdh(5) purA(32) recA(2)</t>
        </is>
      </c>
      <c r="Z39" s="34" t="inlineStr">
        <is>
          <t>IncFIB(AP001918)_1, IncFIC(FII)_1, IncI2_1_Delta</t>
        </is>
      </c>
    </row>
    <row r="40" ht="15" customHeight="1" s="20">
      <c r="A40" s="34" t="inlineStr">
        <is>
          <t>SAMN48947181</t>
        </is>
      </c>
      <c r="B40" s="34" t="inlineStr">
        <is>
          <t>GCA_050939175.1</t>
        </is>
      </c>
      <c r="C40" s="34" t="inlineStr">
        <is>
          <t>B (GenBank assembly)</t>
        </is>
      </c>
      <c r="D40" s="35" t="n"/>
      <c r="E40" s="36">
        <f>IF(D40="","",D40/5100000)</f>
        <v/>
      </c>
      <c r="F40" s="35" t="n">
        <v>192</v>
      </c>
      <c r="G40" s="35" t="n">
        <v>5038682</v>
      </c>
      <c r="H40" s="35" t="n">
        <v>67483</v>
      </c>
      <c r="I40" s="34" t="n">
        <v>50.57</v>
      </c>
      <c r="J40" s="34" t="inlineStr">
        <is>
          <t>Pass</t>
        </is>
      </c>
      <c r="K40" s="34" t="inlineStr">
        <is>
          <t>mcr-1.1</t>
        </is>
      </c>
      <c r="L40" s="34" t="inlineStr">
        <is>
          <t>mcr-1.1</t>
        </is>
      </c>
      <c r="M40" s="34" t="inlineStr">
        <is>
          <t>ALLELEX</t>
        </is>
      </c>
      <c r="N40" s="34" t="inlineStr">
        <is>
          <t>100.00</t>
        </is>
      </c>
      <c r="O40" s="34" t="inlineStr">
        <is>
          <t>100.00</t>
        </is>
      </c>
      <c r="P40" s="34" t="inlineStr">
        <is>
          <t>JBPBTN010000027.1</t>
        </is>
      </c>
      <c r="Q40" s="34" t="inlineStr">
        <is>
          <t>mcr-1.1</t>
        </is>
      </c>
      <c r="R40" s="34" t="inlineStr">
        <is>
          <t>mcr-1.1_1</t>
        </is>
      </c>
      <c r="S40" s="34" t="inlineStr">
        <is>
          <t>IncI2_1_Delta</t>
        </is>
      </c>
      <c r="T40" s="34" t="n"/>
      <c r="U40" s="34" t="n"/>
      <c r="V40" s="34" t="n"/>
      <c r="W40" s="35" t="n"/>
      <c r="X40" s="34" t="inlineStr">
        <is>
          <t>-</t>
        </is>
      </c>
      <c r="Y40" s="34" t="inlineStr">
        <is>
          <t>adk(6) fumC(11) gyrB(4) icd(8) mdh(276) purA(8) recA(6)</t>
        </is>
      </c>
      <c r="Z40" s="34" t="inlineStr">
        <is>
          <t>Col156_1, IncFIB(AP001918)_1, IncI2_1_Delta, IncY_1</t>
        </is>
      </c>
    </row>
    <row r="41" ht="15" customHeight="1" s="20">
      <c r="A41" s="34" t="inlineStr">
        <is>
          <t>SAMN48947185</t>
        </is>
      </c>
      <c r="B41" s="34" t="inlineStr">
        <is>
          <t>GCA_050939155.1</t>
        </is>
      </c>
      <c r="C41" s="34" t="inlineStr">
        <is>
          <t>B (GenBank assembly)</t>
        </is>
      </c>
      <c r="D41" s="35" t="n"/>
      <c r="E41" s="36">
        <f>IF(D41="","",D41/5100000)</f>
        <v/>
      </c>
      <c r="F41" s="35" t="n">
        <v>149</v>
      </c>
      <c r="G41" s="35" t="n">
        <v>5066400</v>
      </c>
      <c r="H41" s="35" t="n">
        <v>100536</v>
      </c>
      <c r="I41" s="34" t="n">
        <v>50.35</v>
      </c>
      <c r="J41" s="34" t="inlineStr">
        <is>
          <t>Pass</t>
        </is>
      </c>
      <c r="K41" s="34" t="inlineStr">
        <is>
          <t>mcr-1.1</t>
        </is>
      </c>
      <c r="L41" s="34" t="inlineStr">
        <is>
          <t>mcr-1.1</t>
        </is>
      </c>
      <c r="M41" s="34" t="inlineStr">
        <is>
          <t>ALLELEX</t>
        </is>
      </c>
      <c r="N41" s="34" t="inlineStr">
        <is>
          <t>100.00</t>
        </is>
      </c>
      <c r="O41" s="34" t="inlineStr">
        <is>
          <t>100.00</t>
        </is>
      </c>
      <c r="P41" s="34" t="inlineStr">
        <is>
          <t>JBPBTJ010000028.1</t>
        </is>
      </c>
      <c r="Q41" s="34" t="inlineStr">
        <is>
          <t>mcr-1.1</t>
        </is>
      </c>
      <c r="R41" s="34" t="inlineStr">
        <is>
          <t>mcr-1.1_1</t>
        </is>
      </c>
      <c r="S41" s="34" t="inlineStr">
        <is>
          <t>IncI2_1_Delta</t>
        </is>
      </c>
      <c r="T41" s="34" t="n"/>
      <c r="U41" s="34" t="n"/>
      <c r="V41" s="34" t="n"/>
      <c r="W41" s="35" t="n"/>
      <c r="X41" s="34" t="inlineStr">
        <is>
          <t>93</t>
        </is>
      </c>
      <c r="Y41" s="34" t="inlineStr">
        <is>
          <t>adk(6) fumC(11) gyrB(4) icd(10) mdh(7) purA(8) recA(6)</t>
        </is>
      </c>
      <c r="Z41" s="34" t="inlineStr">
        <is>
          <t>IncFIB(AP001918)_1, IncI1_1_Alpha, IncI2_1_Delta</t>
        </is>
      </c>
    </row>
    <row r="42" ht="15" customHeight="1" s="20">
      <c r="A42" s="34" t="inlineStr">
        <is>
          <t>SAMN48947234</t>
        </is>
      </c>
      <c r="B42" s="34" t="inlineStr">
        <is>
          <t>GCA_050939135.1</t>
        </is>
      </c>
      <c r="C42" s="34" t="inlineStr">
        <is>
          <t>B (GenBank assembly)</t>
        </is>
      </c>
      <c r="D42" s="35" t="n"/>
      <c r="E42" s="36">
        <f>IF(D42="","",D42/5100000)</f>
        <v/>
      </c>
      <c r="F42" s="35" t="n">
        <v>104</v>
      </c>
      <c r="G42" s="35" t="n">
        <v>5275047</v>
      </c>
      <c r="H42" s="35" t="n">
        <v>160831</v>
      </c>
      <c r="I42" s="34" t="n">
        <v>50.49</v>
      </c>
      <c r="J42" s="34" t="inlineStr">
        <is>
          <t>Pass</t>
        </is>
      </c>
      <c r="K42" s="34" t="inlineStr">
        <is>
          <t>mcr-1.1</t>
        </is>
      </c>
      <c r="L42" s="34" t="inlineStr">
        <is>
          <t>mcr-1.1</t>
        </is>
      </c>
      <c r="M42" s="34" t="inlineStr">
        <is>
          <t>ALLELEX</t>
        </is>
      </c>
      <c r="N42" s="34" t="inlineStr">
        <is>
          <t>100.00</t>
        </is>
      </c>
      <c r="O42" s="34" t="inlineStr">
        <is>
          <t>100.00</t>
        </is>
      </c>
      <c r="P42" s="34" t="inlineStr">
        <is>
          <t>JBPBRM010000030.1</t>
        </is>
      </c>
      <c r="Q42" s="34" t="inlineStr">
        <is>
          <t>mcr-1.1</t>
        </is>
      </c>
      <c r="R42" s="34" t="inlineStr">
        <is>
          <t>mcr-1.1_1</t>
        </is>
      </c>
      <c r="S42" s="34" t="inlineStr">
        <is>
          <t>IncI2_1</t>
        </is>
      </c>
      <c r="T42" s="34" t="n"/>
      <c r="U42" s="34" t="n"/>
      <c r="V42" s="34" t="n"/>
      <c r="W42" s="35" t="n"/>
      <c r="X42" s="34" t="inlineStr">
        <is>
          <t>8492</t>
        </is>
      </c>
      <c r="Y42" s="34" t="inlineStr">
        <is>
          <t>adk(6) fumC(65) gyrB(32) icd(26) mdh(11) purA(8) recA(6)</t>
        </is>
      </c>
      <c r="Z42" s="34" t="inlineStr">
        <is>
          <t>IncFIB(AP001918)_1, IncFIC(FII)_1, IncI1_1_Alpha, IncI2_1, p0111_1</t>
        </is>
      </c>
    </row>
    <row r="43" ht="15" customHeight="1" s="20">
      <c r="A43" s="34" t="inlineStr">
        <is>
          <t>SAMN48947233</t>
        </is>
      </c>
      <c r="B43" s="34" t="inlineStr">
        <is>
          <t>GCA_050939115.1</t>
        </is>
      </c>
      <c r="C43" s="34" t="inlineStr">
        <is>
          <t>B (GenBank assembly)</t>
        </is>
      </c>
      <c r="D43" s="35" t="n"/>
      <c r="E43" s="36">
        <f>IF(D43="","",D43/5100000)</f>
        <v/>
      </c>
      <c r="F43" s="35" t="n">
        <v>105</v>
      </c>
      <c r="G43" s="35" t="n">
        <v>5272496</v>
      </c>
      <c r="H43" s="35" t="n">
        <v>143219</v>
      </c>
      <c r="I43" s="34" t="n">
        <v>50.48</v>
      </c>
      <c r="J43" s="34" t="inlineStr">
        <is>
          <t>Pass</t>
        </is>
      </c>
      <c r="K43" s="34" t="inlineStr">
        <is>
          <t>mcr-1.1</t>
        </is>
      </c>
      <c r="L43" s="34" t="inlineStr">
        <is>
          <t>mcr-1.1</t>
        </is>
      </c>
      <c r="M43" s="34" t="inlineStr">
        <is>
          <t>ALLELEX</t>
        </is>
      </c>
      <c r="N43" s="34" t="inlineStr">
        <is>
          <t>100.00</t>
        </is>
      </c>
      <c r="O43" s="34" t="inlineStr">
        <is>
          <t>100.00</t>
        </is>
      </c>
      <c r="P43" s="34" t="inlineStr">
        <is>
          <t>JBPBRN010000029.1</t>
        </is>
      </c>
      <c r="Q43" s="34" t="inlineStr">
        <is>
          <t>mcr-1.1</t>
        </is>
      </c>
      <c r="R43" s="34" t="inlineStr">
        <is>
          <t>mcr-1.1_1</t>
        </is>
      </c>
      <c r="S43" s="34" t="inlineStr">
        <is>
          <t>IncI2_1</t>
        </is>
      </c>
      <c r="T43" s="34" t="n"/>
      <c r="U43" s="34" t="n"/>
      <c r="V43" s="34" t="n"/>
      <c r="W43" s="35" t="n"/>
      <c r="X43" s="34" t="inlineStr">
        <is>
          <t>8492</t>
        </is>
      </c>
      <c r="Y43" s="34" t="inlineStr">
        <is>
          <t>adk(6) fumC(65) gyrB(32) icd(26) mdh(11) purA(8) recA(6)</t>
        </is>
      </c>
      <c r="Z43" s="34" t="inlineStr">
        <is>
          <t>IncFIB(AP001918)_1, IncFIC(FII)_1, IncI1_1_Alpha, IncI2_1, p0111_1</t>
        </is>
      </c>
    </row>
    <row r="44" ht="15" customHeight="1" s="20">
      <c r="A44" s="34" t="inlineStr">
        <is>
          <t>SAMN48947213</t>
        </is>
      </c>
      <c r="B44" s="34" t="inlineStr">
        <is>
          <t>GCA_050939075.1</t>
        </is>
      </c>
      <c r="C44" s="34" t="inlineStr">
        <is>
          <t>B (GenBank assembly)</t>
        </is>
      </c>
      <c r="D44" s="35" t="n"/>
      <c r="E44" s="36">
        <f>IF(D44="","",D44/5100000)</f>
        <v/>
      </c>
      <c r="F44" s="35" t="n">
        <v>126</v>
      </c>
      <c r="G44" s="35" t="n">
        <v>5207886</v>
      </c>
      <c r="H44" s="35" t="n">
        <v>161586</v>
      </c>
      <c r="I44" s="34" t="n">
        <v>50.48</v>
      </c>
      <c r="J44" s="34" t="inlineStr">
        <is>
          <t>Pass</t>
        </is>
      </c>
      <c r="K44" s="34" t="inlineStr">
        <is>
          <t>mcr-1.1</t>
        </is>
      </c>
      <c r="L44" s="34" t="inlineStr">
        <is>
          <t>mcr-1.1</t>
        </is>
      </c>
      <c r="M44" s="34" t="inlineStr">
        <is>
          <t>ALLELEX</t>
        </is>
      </c>
      <c r="N44" s="34" t="inlineStr">
        <is>
          <t>100.00</t>
        </is>
      </c>
      <c r="O44" s="34" t="inlineStr">
        <is>
          <t>100.00</t>
        </is>
      </c>
      <c r="P44" s="34" t="inlineStr">
        <is>
          <t>JBPBSH010000051.1</t>
        </is>
      </c>
      <c r="Q44" s="34" t="inlineStr">
        <is>
          <t>mcr-1.1</t>
        </is>
      </c>
      <c r="R44" s="34" t="inlineStr">
        <is>
          <t>mcr-1.1_1</t>
        </is>
      </c>
      <c r="S44" s="34" t="inlineStr">
        <is>
          <t>none</t>
        </is>
      </c>
      <c r="T44" s="34" t="inlineStr">
        <is>
          <t>plasmid</t>
        </is>
      </c>
      <c r="U44" s="34" t="inlineStr">
        <is>
          <t>IncI2</t>
        </is>
      </c>
      <c r="V44" s="34" t="inlineStr">
        <is>
          <t>MOBP</t>
        </is>
      </c>
      <c r="W44" s="35" t="n">
        <v>62260</v>
      </c>
      <c r="X44" s="34" t="inlineStr">
        <is>
          <t>162</t>
        </is>
      </c>
      <c r="Y44" s="34" t="inlineStr">
        <is>
          <t>adk(9) fumC(65) gyrB(5) icd(1) mdh(9) purA(13) recA(6)</t>
        </is>
      </c>
      <c r="Z44" s="34" t="inlineStr">
        <is>
          <t>IncFIB(AP001918)_1, IncFIC(FII)_1, IncI1_1_Alpha, IncI2_1_Delta</t>
        </is>
      </c>
    </row>
    <row r="45" ht="15" customHeight="1" s="20">
      <c r="A45" s="34" t="inlineStr">
        <is>
          <t>SAMN48947215</t>
        </is>
      </c>
      <c r="B45" s="34" t="inlineStr">
        <is>
          <t>GCA_050939055.1</t>
        </is>
      </c>
      <c r="C45" s="34" t="inlineStr">
        <is>
          <t>B (GenBank assembly)</t>
        </is>
      </c>
      <c r="D45" s="35" t="n"/>
      <c r="E45" s="36">
        <f>IF(D45="","",D45/5100000)</f>
        <v/>
      </c>
      <c r="F45" s="35" t="n">
        <v>66</v>
      </c>
      <c r="G45" s="35" t="n">
        <v>4942002</v>
      </c>
      <c r="H45" s="35" t="n">
        <v>214408</v>
      </c>
      <c r="I45" s="34" t="n">
        <v>50.44</v>
      </c>
      <c r="J45" s="34" t="inlineStr">
        <is>
          <t>Pass</t>
        </is>
      </c>
      <c r="K45" s="34" t="inlineStr">
        <is>
          <t>mcr-1.1</t>
        </is>
      </c>
      <c r="L45" s="34" t="inlineStr">
        <is>
          <t>mcr-1.1</t>
        </is>
      </c>
      <c r="M45" s="34" t="inlineStr">
        <is>
          <t>ALLELEX</t>
        </is>
      </c>
      <c r="N45" s="34" t="inlineStr">
        <is>
          <t>100.00</t>
        </is>
      </c>
      <c r="O45" s="34" t="inlineStr">
        <is>
          <t>100.00</t>
        </is>
      </c>
      <c r="P45" s="34" t="inlineStr">
        <is>
          <t>JBPBSF010000037.1</t>
        </is>
      </c>
      <c r="Q45" s="34" t="inlineStr">
        <is>
          <t>mcr-1.1</t>
        </is>
      </c>
      <c r="R45" s="34" t="inlineStr">
        <is>
          <t>mcr-1.1_1</t>
        </is>
      </c>
      <c r="S45" s="34" t="inlineStr">
        <is>
          <t>none</t>
        </is>
      </c>
      <c r="T45" s="34" t="inlineStr">
        <is>
          <t>plasmid</t>
        </is>
      </c>
      <c r="U45" s="34" t="inlineStr">
        <is>
          <t>IncI2</t>
        </is>
      </c>
      <c r="V45" s="34" t="inlineStr">
        <is>
          <t>MOBP</t>
        </is>
      </c>
      <c r="W45" s="35" t="n">
        <v>66272</v>
      </c>
      <c r="X45" s="34" t="inlineStr">
        <is>
          <t>11956</t>
        </is>
      </c>
      <c r="Y45" s="34" t="inlineStr">
        <is>
          <t>adk(10) fumC(11) gyrB(5) icd(8) mdh(7) purA(18) recA(2)</t>
        </is>
      </c>
      <c r="Z45" s="34" t="inlineStr">
        <is>
          <t>Col156_1, IncFIB(AP001918)_1, IncFII_1, IncI2_1_Delta, IncY_1</t>
        </is>
      </c>
    </row>
    <row r="46" ht="15" customHeight="1" s="20">
      <c r="A46" s="34" t="inlineStr">
        <is>
          <t>SAMN48947203</t>
        </is>
      </c>
      <c r="B46" s="34" t="inlineStr">
        <is>
          <t>GCA_050939035.1</t>
        </is>
      </c>
      <c r="C46" s="34" t="inlineStr">
        <is>
          <t>B (GenBank assembly)</t>
        </is>
      </c>
      <c r="D46" s="35" t="n"/>
      <c r="E46" s="36">
        <f>IF(D46="","",D46/5100000)</f>
        <v/>
      </c>
      <c r="F46" s="35" t="n">
        <v>186</v>
      </c>
      <c r="G46" s="35" t="n">
        <v>5058724</v>
      </c>
      <c r="H46" s="35" t="n">
        <v>83367</v>
      </c>
      <c r="I46" s="34" t="n">
        <v>50.45</v>
      </c>
      <c r="J46" s="34" t="inlineStr">
        <is>
          <t>Pass</t>
        </is>
      </c>
      <c r="K46" s="34" t="inlineStr">
        <is>
          <t>mcr-1.1</t>
        </is>
      </c>
      <c r="L46" s="34" t="inlineStr">
        <is>
          <t>mcr-1.1</t>
        </is>
      </c>
      <c r="M46" s="34" t="inlineStr">
        <is>
          <t>ALLELEX</t>
        </is>
      </c>
      <c r="N46" s="34" t="inlineStr">
        <is>
          <t>100.00</t>
        </is>
      </c>
      <c r="O46" s="34" t="inlineStr">
        <is>
          <t>100.00</t>
        </is>
      </c>
      <c r="P46" s="34" t="inlineStr">
        <is>
          <t>JBPBSR010000027.1</t>
        </is>
      </c>
      <c r="Q46" s="34" t="inlineStr">
        <is>
          <t>mcr-1.1</t>
        </is>
      </c>
      <c r="R46" s="34" t="inlineStr">
        <is>
          <t>mcr-1.1_1</t>
        </is>
      </c>
      <c r="S46" s="34" t="inlineStr">
        <is>
          <t>IncI2_1_Delta</t>
        </is>
      </c>
      <c r="T46" s="34" t="n"/>
      <c r="U46" s="34" t="n"/>
      <c r="V46" s="34" t="n"/>
      <c r="W46" s="35" t="n"/>
      <c r="X46" s="34" t="inlineStr">
        <is>
          <t>7139</t>
        </is>
      </c>
      <c r="Y46" s="34" t="inlineStr">
        <is>
          <t>adk(10) fumC(11) gyrB(4) icd(724) mdh(8) purA(8) recA(2)</t>
        </is>
      </c>
      <c r="Z46" s="34" t="inlineStr">
        <is>
          <t>ColpEC648, IncI1_1_Alpha, IncI2_1_Delta, p0111_1</t>
        </is>
      </c>
    </row>
    <row r="47" ht="15" customHeight="1" s="20">
      <c r="A47" s="34" t="inlineStr">
        <is>
          <t>SAMN48947209</t>
        </is>
      </c>
      <c r="B47" s="34" t="inlineStr">
        <is>
          <t>GCA_050939015.1</t>
        </is>
      </c>
      <c r="C47" s="34" t="inlineStr">
        <is>
          <t>B (GenBank assembly)</t>
        </is>
      </c>
      <c r="D47" s="35" t="n"/>
      <c r="E47" s="36">
        <f>IF(D47="","",D47/5100000)</f>
        <v/>
      </c>
      <c r="F47" s="35" t="n">
        <v>121</v>
      </c>
      <c r="G47" s="35" t="n">
        <v>5258442</v>
      </c>
      <c r="H47" s="35" t="n">
        <v>116143</v>
      </c>
      <c r="I47" s="34" t="n">
        <v>50.39</v>
      </c>
      <c r="J47" s="34" t="inlineStr">
        <is>
          <t>Pass</t>
        </is>
      </c>
      <c r="K47" s="34" t="inlineStr">
        <is>
          <t>mcr-1.1</t>
        </is>
      </c>
      <c r="L47" s="34" t="inlineStr">
        <is>
          <t>mcr-1.1</t>
        </is>
      </c>
      <c r="M47" s="34" t="inlineStr">
        <is>
          <t>ALLELEX</t>
        </is>
      </c>
      <c r="N47" s="34" t="inlineStr">
        <is>
          <t>100.00</t>
        </is>
      </c>
      <c r="O47" s="34" t="inlineStr">
        <is>
          <t>100.00</t>
        </is>
      </c>
      <c r="P47" s="34" t="inlineStr">
        <is>
          <t>JBPBSL010000030.1</t>
        </is>
      </c>
      <c r="Q47" s="34" t="inlineStr">
        <is>
          <t>mcr-1.1</t>
        </is>
      </c>
      <c r="R47" s="34" t="inlineStr">
        <is>
          <t>mcr-1.1_1</t>
        </is>
      </c>
      <c r="S47" s="34" t="inlineStr">
        <is>
          <t>IncI2_1_Delta</t>
        </is>
      </c>
      <c r="T47" s="34" t="n"/>
      <c r="U47" s="34" t="n"/>
      <c r="V47" s="34" t="n"/>
      <c r="W47" s="35" t="n"/>
      <c r="X47" s="34" t="inlineStr">
        <is>
          <t>162</t>
        </is>
      </c>
      <c r="Y47" s="34" t="inlineStr">
        <is>
          <t>adk(9) fumC(65) gyrB(5) icd(1) mdh(9) purA(13) recA(6)</t>
        </is>
      </c>
      <c r="Z47" s="34" t="inlineStr">
        <is>
          <t>IncFIB(AP001918)_1, IncFIC(FII)_1, IncI2_1_Delta, p0111_1</t>
        </is>
      </c>
    </row>
    <row r="48" ht="15" customHeight="1" s="20">
      <c r="A48" s="34" t="inlineStr">
        <is>
          <t>SAMN48947207</t>
        </is>
      </c>
      <c r="B48" s="34" t="inlineStr">
        <is>
          <t>GCA_050938975.1</t>
        </is>
      </c>
      <c r="C48" s="34" t="inlineStr">
        <is>
          <t>B (GenBank assembly)</t>
        </is>
      </c>
      <c r="D48" s="35" t="n"/>
      <c r="E48" s="36">
        <f>IF(D48="","",D48/5100000)</f>
        <v/>
      </c>
      <c r="F48" s="35" t="n">
        <v>109</v>
      </c>
      <c r="G48" s="35" t="n">
        <v>5101875</v>
      </c>
      <c r="H48" s="35" t="n">
        <v>161590</v>
      </c>
      <c r="I48" s="34" t="n">
        <v>50.51</v>
      </c>
      <c r="J48" s="34" t="inlineStr">
        <is>
          <t>Pass</t>
        </is>
      </c>
      <c r="K48" s="34" t="inlineStr">
        <is>
          <t>mcr-1.1</t>
        </is>
      </c>
      <c r="L48" s="34" t="inlineStr">
        <is>
          <t>mcr-1.1</t>
        </is>
      </c>
      <c r="M48" s="34" t="inlineStr">
        <is>
          <t>ALLELEX</t>
        </is>
      </c>
      <c r="N48" s="34" t="inlineStr">
        <is>
          <t>100.00</t>
        </is>
      </c>
      <c r="O48" s="34" t="inlineStr">
        <is>
          <t>100.00</t>
        </is>
      </c>
      <c r="P48" s="34" t="inlineStr">
        <is>
          <t>JBPBSN010000027.1</t>
        </is>
      </c>
      <c r="Q48" s="34" t="inlineStr">
        <is>
          <t>mcr-1.1</t>
        </is>
      </c>
      <c r="R48" s="34" t="inlineStr">
        <is>
          <t>mcr-1.1_1</t>
        </is>
      </c>
      <c r="S48" s="34" t="inlineStr">
        <is>
          <t>IncI2_1_Delta</t>
        </is>
      </c>
      <c r="T48" s="34" t="n"/>
      <c r="U48" s="34" t="n"/>
      <c r="V48" s="34" t="n"/>
      <c r="W48" s="35" t="n"/>
      <c r="X48" s="34" t="inlineStr">
        <is>
          <t>162</t>
        </is>
      </c>
      <c r="Y48" s="34" t="inlineStr">
        <is>
          <t>adk(9) fumC(65) gyrB(5) icd(1) mdh(9) purA(13) recA(6)</t>
        </is>
      </c>
      <c r="Z48" s="34" t="inlineStr">
        <is>
          <t>IncFIB(AP001918)_1, IncFIC(FII)_1, IncI2_1_Delta</t>
        </is>
      </c>
    </row>
    <row r="49" ht="15" customHeight="1" s="20">
      <c r="A49" s="34" t="inlineStr">
        <is>
          <t>SAMN48947193</t>
        </is>
      </c>
      <c r="B49" s="34" t="inlineStr">
        <is>
          <t>GCA_050938935.1</t>
        </is>
      </c>
      <c r="C49" s="34" t="inlineStr">
        <is>
          <t>B (GenBank assembly)</t>
        </is>
      </c>
      <c r="D49" s="35" t="n"/>
      <c r="E49" s="36">
        <f>IF(D49="","",D49/5100000)</f>
        <v/>
      </c>
      <c r="F49" s="35" t="n">
        <v>132</v>
      </c>
      <c r="G49" s="35" t="n">
        <v>5067600</v>
      </c>
      <c r="H49" s="35" t="n">
        <v>142920</v>
      </c>
      <c r="I49" s="34" t="n">
        <v>50.53</v>
      </c>
      <c r="J49" s="34" t="inlineStr">
        <is>
          <t>Pass</t>
        </is>
      </c>
      <c r="K49" s="34" t="inlineStr">
        <is>
          <t>mcr-1.1</t>
        </is>
      </c>
      <c r="L49" s="34" t="inlineStr">
        <is>
          <t>mcr-1.1</t>
        </is>
      </c>
      <c r="M49" s="34" t="inlineStr">
        <is>
          <t>ALLELEX</t>
        </is>
      </c>
      <c r="N49" s="34" t="inlineStr">
        <is>
          <t>100.00</t>
        </is>
      </c>
      <c r="O49" s="34" t="inlineStr">
        <is>
          <t>100.00</t>
        </is>
      </c>
      <c r="P49" s="34" t="inlineStr">
        <is>
          <t>JBPBTB010000029.1</t>
        </is>
      </c>
      <c r="Q49" s="34" t="inlineStr">
        <is>
          <t>mcr-1.1</t>
        </is>
      </c>
      <c r="R49" s="34" t="inlineStr">
        <is>
          <t>mcr-1.1_1</t>
        </is>
      </c>
      <c r="S49" s="34" t="inlineStr">
        <is>
          <t>IncI2_1_Delta</t>
        </is>
      </c>
      <c r="T49" s="34" t="n"/>
      <c r="U49" s="34" t="n"/>
      <c r="V49" s="34" t="n"/>
      <c r="W49" s="35" t="n"/>
      <c r="X49" s="34" t="inlineStr">
        <is>
          <t>23</t>
        </is>
      </c>
      <c r="Y49" s="34" t="inlineStr">
        <is>
          <t>adk(6) fumC(4) gyrB(12) icd(1) mdh(20) purA(13) recA(7)</t>
        </is>
      </c>
      <c r="Z49" s="34" t="inlineStr">
        <is>
          <t>IncFIA_1, IncFIB(AP001918)_1, IncFIC(FII)_1, IncI1_1_Alpha, IncI2_1_Delta</t>
        </is>
      </c>
    </row>
    <row r="50" ht="15" customHeight="1" s="20">
      <c r="A50" s="34" t="inlineStr">
        <is>
          <t>SAMN48947196</t>
        </is>
      </c>
      <c r="B50" s="34" t="inlineStr">
        <is>
          <t>GCA_050938885.1</t>
        </is>
      </c>
      <c r="C50" s="34" t="inlineStr">
        <is>
          <t>B (GenBank assembly)</t>
        </is>
      </c>
      <c r="D50" s="35" t="n"/>
      <c r="E50" s="36">
        <f>IF(D50="","",D50/5100000)</f>
        <v/>
      </c>
      <c r="F50" s="35" t="n">
        <v>93</v>
      </c>
      <c r="G50" s="35" t="n">
        <v>5101332</v>
      </c>
      <c r="H50" s="35" t="n">
        <v>179813</v>
      </c>
      <c r="I50" s="34" t="n">
        <v>50.46</v>
      </c>
      <c r="J50" s="34" t="inlineStr">
        <is>
          <t>Pass</t>
        </is>
      </c>
      <c r="K50" s="34" t="inlineStr">
        <is>
          <t>mcr-1.1</t>
        </is>
      </c>
      <c r="L50" s="34" t="inlineStr">
        <is>
          <t>mcr-1.1</t>
        </is>
      </c>
      <c r="M50" s="34" t="inlineStr">
        <is>
          <t>ALLELEX</t>
        </is>
      </c>
      <c r="N50" s="34" t="inlineStr">
        <is>
          <t>100.00</t>
        </is>
      </c>
      <c r="O50" s="34" t="inlineStr">
        <is>
          <t>100.00</t>
        </is>
      </c>
      <c r="P50" s="34" t="inlineStr">
        <is>
          <t>JBPBSY010000037.1</t>
        </is>
      </c>
      <c r="Q50" s="34" t="inlineStr">
        <is>
          <t>mcr-1.1</t>
        </is>
      </c>
      <c r="R50" s="34" t="inlineStr">
        <is>
          <t>mcr-1.1_1</t>
        </is>
      </c>
      <c r="S50" s="34" t="inlineStr">
        <is>
          <t>none</t>
        </is>
      </c>
      <c r="T50" s="34" t="inlineStr">
        <is>
          <t>plasmid</t>
        </is>
      </c>
      <c r="U50" s="34" t="inlineStr">
        <is>
          <t>IncI2</t>
        </is>
      </c>
      <c r="V50" s="34" t="inlineStr">
        <is>
          <t>MOBP</t>
        </is>
      </c>
      <c r="W50" s="35" t="n">
        <v>63369</v>
      </c>
      <c r="X50" s="34" t="inlineStr">
        <is>
          <t>162</t>
        </is>
      </c>
      <c r="Y50" s="34" t="inlineStr">
        <is>
          <t>adk(9) fumC(65) gyrB(5) icd(1) mdh(9) purA(13) recA(6)</t>
        </is>
      </c>
      <c r="Z50" s="34" t="inlineStr">
        <is>
          <t>IncFIB(AP001918)_1, IncFIC(FII)_1, IncI2_1_Delta, p0111_1</t>
        </is>
      </c>
    </row>
    <row r="51" ht="15" customHeight="1" s="20">
      <c r="A51" s="34" t="inlineStr">
        <is>
          <t>SAMN48947199</t>
        </is>
      </c>
      <c r="B51" s="34" t="inlineStr">
        <is>
          <t>GCA_050938875.1</t>
        </is>
      </c>
      <c r="C51" s="34" t="inlineStr">
        <is>
          <t>B (GenBank assembly)</t>
        </is>
      </c>
      <c r="D51" s="35" t="n"/>
      <c r="E51" s="36">
        <f>IF(D51="","",D51/5100000)</f>
        <v/>
      </c>
      <c r="F51" s="35" t="n">
        <v>153</v>
      </c>
      <c r="G51" s="35" t="n">
        <v>5091395</v>
      </c>
      <c r="H51" s="35" t="n">
        <v>104390</v>
      </c>
      <c r="I51" s="34" t="n">
        <v>50.41</v>
      </c>
      <c r="J51" s="34" t="inlineStr">
        <is>
          <t>Pass</t>
        </is>
      </c>
      <c r="K51" s="34" t="inlineStr">
        <is>
          <t>mcr-1.1</t>
        </is>
      </c>
      <c r="L51" s="34" t="inlineStr">
        <is>
          <t>mcr-1.1</t>
        </is>
      </c>
      <c r="M51" s="34" t="inlineStr">
        <is>
          <t>ALLELEX</t>
        </is>
      </c>
      <c r="N51" s="34" t="inlineStr">
        <is>
          <t>100.00</t>
        </is>
      </c>
      <c r="O51" s="34" t="inlineStr">
        <is>
          <t>100.00</t>
        </is>
      </c>
      <c r="P51" s="34" t="inlineStr">
        <is>
          <t>JBPBSV010000030.1</t>
        </is>
      </c>
      <c r="Q51" s="34" t="inlineStr">
        <is>
          <t>mcr-1.1</t>
        </is>
      </c>
      <c r="R51" s="34" t="inlineStr">
        <is>
          <t>mcr-1.1_1</t>
        </is>
      </c>
      <c r="S51" s="34" t="inlineStr">
        <is>
          <t>IncI2_1</t>
        </is>
      </c>
      <c r="T51" s="34" t="n"/>
      <c r="U51" s="34" t="n"/>
      <c r="V51" s="34" t="n"/>
      <c r="W51" s="35" t="n"/>
      <c r="X51" s="34" t="inlineStr">
        <is>
          <t>297</t>
        </is>
      </c>
      <c r="Y51" s="34" t="inlineStr">
        <is>
          <t>adk(6) fumC(65) gyrB(32) icd(26) mdh(9) purA(8) recA(2)</t>
        </is>
      </c>
      <c r="Z51" s="34" t="inlineStr">
        <is>
          <t>IncI2_1, p0111_1</t>
        </is>
      </c>
    </row>
    <row r="52" ht="15" customHeight="1" s="20">
      <c r="A52" s="34" t="inlineStr">
        <is>
          <t>SAMN48947201</t>
        </is>
      </c>
      <c r="B52" s="34" t="inlineStr">
        <is>
          <t>GCA_050938855.1</t>
        </is>
      </c>
      <c r="C52" s="34" t="inlineStr">
        <is>
          <t>B (GenBank assembly)</t>
        </is>
      </c>
      <c r="D52" s="35" t="n"/>
      <c r="E52" s="36">
        <f>IF(D52="","",D52/5100000)</f>
        <v/>
      </c>
      <c r="F52" s="35" t="n">
        <v>147</v>
      </c>
      <c r="G52" s="35" t="n">
        <v>5170729</v>
      </c>
      <c r="H52" s="35" t="n">
        <v>159448</v>
      </c>
      <c r="I52" s="34" t="n">
        <v>50.7</v>
      </c>
      <c r="J52" s="34" t="inlineStr">
        <is>
          <t>Pass</t>
        </is>
      </c>
      <c r="K52" s="34" t="inlineStr">
        <is>
          <t>mcr-1.1</t>
        </is>
      </c>
      <c r="L52" s="34" t="inlineStr">
        <is>
          <t>mcr-1.1</t>
        </is>
      </c>
      <c r="M52" s="34" t="inlineStr">
        <is>
          <t>ALLELEX</t>
        </is>
      </c>
      <c r="N52" s="34" t="inlineStr">
        <is>
          <t>100.00</t>
        </is>
      </c>
      <c r="O52" s="34" t="inlineStr">
        <is>
          <t>100.00</t>
        </is>
      </c>
      <c r="P52" s="34" t="inlineStr">
        <is>
          <t>JBPBST010000026.1</t>
        </is>
      </c>
      <c r="Q52" s="34" t="inlineStr">
        <is>
          <t>mcr-1.1</t>
        </is>
      </c>
      <c r="R52" s="34" t="inlineStr">
        <is>
          <t>mcr-1.1_1</t>
        </is>
      </c>
      <c r="S52" s="34" t="inlineStr">
        <is>
          <t>IncI2_1_Delta</t>
        </is>
      </c>
      <c r="T52" s="34" t="n"/>
      <c r="U52" s="34" t="n"/>
      <c r="V52" s="34" t="n"/>
      <c r="W52" s="35" t="n"/>
      <c r="X52" s="34" t="inlineStr">
        <is>
          <t>7518</t>
        </is>
      </c>
      <c r="Y52" s="34" t="inlineStr">
        <is>
          <t>adk(6) fumC(6) gyrB(644) icd(26) mdh(11) purA(8) recA(2)</t>
        </is>
      </c>
      <c r="Z52" s="34" t="inlineStr">
        <is>
          <t>IncFIB(AP001918)_1, IncI2_1_Delta, IncQ1_1, IncR_1</t>
        </is>
      </c>
    </row>
    <row r="53" ht="15" customHeight="1" s="20">
      <c r="A53" s="34" t="inlineStr">
        <is>
          <t>SAMN48947202</t>
        </is>
      </c>
      <c r="B53" s="34" t="inlineStr">
        <is>
          <t>GCA_050938835.1</t>
        </is>
      </c>
      <c r="C53" s="34" t="inlineStr">
        <is>
          <t>B (GenBank assembly)</t>
        </is>
      </c>
      <c r="D53" s="35" t="n"/>
      <c r="E53" s="36">
        <f>IF(D53="","",D53/5100000)</f>
        <v/>
      </c>
      <c r="F53" s="35" t="n">
        <v>151</v>
      </c>
      <c r="G53" s="35" t="n">
        <v>4941515</v>
      </c>
      <c r="H53" s="35" t="n">
        <v>90922</v>
      </c>
      <c r="I53" s="34" t="n">
        <v>50.51</v>
      </c>
      <c r="J53" s="34" t="inlineStr">
        <is>
          <t>Pass</t>
        </is>
      </c>
      <c r="K53" s="34" t="inlineStr">
        <is>
          <t>mcr-1.1</t>
        </is>
      </c>
      <c r="L53" s="34" t="inlineStr">
        <is>
          <t>mcr-1.1</t>
        </is>
      </c>
      <c r="M53" s="34" t="inlineStr">
        <is>
          <t>ALLELEX</t>
        </is>
      </c>
      <c r="N53" s="34" t="inlineStr">
        <is>
          <t>100.00</t>
        </is>
      </c>
      <c r="O53" s="34" t="inlineStr">
        <is>
          <t>100.00</t>
        </is>
      </c>
      <c r="P53" s="34" t="inlineStr">
        <is>
          <t>JBPBSS010000027.1</t>
        </is>
      </c>
      <c r="Q53" s="34" t="inlineStr">
        <is>
          <t>mcr-1.1</t>
        </is>
      </c>
      <c r="R53" s="34" t="inlineStr">
        <is>
          <t>mcr-1.1_1</t>
        </is>
      </c>
      <c r="S53" s="34" t="inlineStr">
        <is>
          <t>IncI2_1_Delta</t>
        </is>
      </c>
      <c r="T53" s="34" t="n"/>
      <c r="U53" s="34" t="n"/>
      <c r="V53" s="34" t="n"/>
      <c r="W53" s="35" t="n"/>
      <c r="X53" s="34" t="inlineStr">
        <is>
          <t>-</t>
        </is>
      </c>
      <c r="Y53" s="34" t="inlineStr">
        <is>
          <t>adk(10) fumC(11) gyrB(1243?) icd(724) mdh(8) purA(8) recA(2)</t>
        </is>
      </c>
      <c r="Z53" s="34" t="inlineStr">
        <is>
          <t>ColpEC648, IncI1_1_Alpha, IncI2_1_Delta</t>
        </is>
      </c>
    </row>
    <row r="54" ht="15" customHeight="1" s="20">
      <c r="A54" s="34" t="inlineStr">
        <is>
          <t>SAMN48947195</t>
        </is>
      </c>
      <c r="B54" s="34" t="inlineStr">
        <is>
          <t>GCA_050938815.1</t>
        </is>
      </c>
      <c r="C54" s="34" t="inlineStr">
        <is>
          <t>B (GenBank assembly)</t>
        </is>
      </c>
      <c r="D54" s="35" t="n"/>
      <c r="E54" s="36">
        <f>IF(D54="","",D54/5100000)</f>
        <v/>
      </c>
      <c r="F54" s="35" t="n">
        <v>113</v>
      </c>
      <c r="G54" s="35" t="n">
        <v>4924529</v>
      </c>
      <c r="H54" s="35" t="n">
        <v>114095</v>
      </c>
      <c r="I54" s="34" t="n">
        <v>50.51</v>
      </c>
      <c r="J54" s="34" t="inlineStr">
        <is>
          <t>Pass</t>
        </is>
      </c>
      <c r="K54" s="34" t="inlineStr">
        <is>
          <t>mcr-1.1</t>
        </is>
      </c>
      <c r="L54" s="34" t="inlineStr">
        <is>
          <t>mcr-1.1</t>
        </is>
      </c>
      <c r="M54" s="34" t="inlineStr">
        <is>
          <t>ALLELEX</t>
        </is>
      </c>
      <c r="N54" s="34" t="inlineStr">
        <is>
          <t>100.00</t>
        </is>
      </c>
      <c r="O54" s="34" t="inlineStr">
        <is>
          <t>100.00</t>
        </is>
      </c>
      <c r="P54" s="34" t="inlineStr">
        <is>
          <t>JBPBSZ010000029.1</t>
        </is>
      </c>
      <c r="Q54" s="34" t="inlineStr">
        <is>
          <t>mcr-1.1</t>
        </is>
      </c>
      <c r="R54" s="34" t="inlineStr">
        <is>
          <t>mcr-1.1_1</t>
        </is>
      </c>
      <c r="S54" s="34" t="inlineStr">
        <is>
          <t>IncI2_1_Delta</t>
        </is>
      </c>
      <c r="T54" s="34" t="n"/>
      <c r="U54" s="34" t="n"/>
      <c r="V54" s="34" t="n"/>
      <c r="W54" s="35" t="n"/>
      <c r="X54" s="34" t="inlineStr">
        <is>
          <t>453</t>
        </is>
      </c>
      <c r="Y54" s="34" t="inlineStr">
        <is>
          <t>adk(99) fumC(6) gyrB(33) icd(33) mdh(24) purA(8) recA(7)</t>
        </is>
      </c>
      <c r="Z54" s="34" t="inlineStr">
        <is>
          <t>IncI1_1_Alpha, IncI2_1_Delta</t>
        </is>
      </c>
    </row>
    <row r="55" ht="15" customHeight="1" s="20">
      <c r="A55" s="34" t="inlineStr">
        <is>
          <t>SAMN48947205</t>
        </is>
      </c>
      <c r="B55" s="34" t="inlineStr">
        <is>
          <t>GCA_050938795.1</t>
        </is>
      </c>
      <c r="C55" s="34" t="inlineStr">
        <is>
          <t>B (GenBank assembly)</t>
        </is>
      </c>
      <c r="D55" s="35" t="n"/>
      <c r="E55" s="36">
        <f>IF(D55="","",D55/5100000)</f>
        <v/>
      </c>
      <c r="F55" s="35" t="n">
        <v>137</v>
      </c>
      <c r="G55" s="35" t="n">
        <v>5051238</v>
      </c>
      <c r="H55" s="35" t="n">
        <v>113995</v>
      </c>
      <c r="I55" s="34" t="n">
        <v>50.51</v>
      </c>
      <c r="J55" s="34" t="inlineStr">
        <is>
          <t>Pass</t>
        </is>
      </c>
      <c r="K55" s="34" t="inlineStr">
        <is>
          <t>mcr-1.1</t>
        </is>
      </c>
      <c r="L55" s="34" t="inlineStr">
        <is>
          <t>mcr-1.1</t>
        </is>
      </c>
      <c r="M55" s="34" t="inlineStr">
        <is>
          <t>ALLELEX</t>
        </is>
      </c>
      <c r="N55" s="34" t="inlineStr">
        <is>
          <t>100.00</t>
        </is>
      </c>
      <c r="O55" s="34" t="inlineStr">
        <is>
          <t>100.00</t>
        </is>
      </c>
      <c r="P55" s="34" t="inlineStr">
        <is>
          <t>JBPBSP010000030.1</t>
        </is>
      </c>
      <c r="Q55" s="34" t="inlineStr">
        <is>
          <t>mcr-1.1</t>
        </is>
      </c>
      <c r="R55" s="34" t="inlineStr">
        <is>
          <t>mcr-1.1_1</t>
        </is>
      </c>
      <c r="S55" s="34" t="inlineStr">
        <is>
          <t>IncI2_1</t>
        </is>
      </c>
      <c r="T55" s="34" t="n"/>
      <c r="U55" s="34" t="n"/>
      <c r="V55" s="34" t="n"/>
      <c r="W55" s="35" t="n"/>
      <c r="X55" s="34" t="inlineStr">
        <is>
          <t>3941</t>
        </is>
      </c>
      <c r="Y55" s="34" t="inlineStr">
        <is>
          <t>adk(6) fumC(511) gyrB(4) icd(10) mdh(7) purA(8) recA(6)</t>
        </is>
      </c>
      <c r="Z55" s="34" t="inlineStr">
        <is>
          <t>IncFIA_1, IncFIB(AP001918)_1, IncI1_1_Alpha, IncI2_1</t>
        </is>
      </c>
    </row>
    <row r="56" ht="15" customHeight="1" s="20">
      <c r="A56" s="34" t="inlineStr">
        <is>
          <t>SAMN48947204</t>
        </is>
      </c>
      <c r="B56" s="34" t="inlineStr">
        <is>
          <t>GCA_050938775.1</t>
        </is>
      </c>
      <c r="C56" s="34" t="inlineStr">
        <is>
          <t>B (GenBank assembly)</t>
        </is>
      </c>
      <c r="D56" s="35" t="n"/>
      <c r="E56" s="36">
        <f>IF(D56="","",D56/5100000)</f>
        <v/>
      </c>
      <c r="F56" s="35" t="n">
        <v>117</v>
      </c>
      <c r="G56" s="35" t="n">
        <v>5194364</v>
      </c>
      <c r="H56" s="35" t="n">
        <v>142190</v>
      </c>
      <c r="I56" s="34" t="n">
        <v>50.4</v>
      </c>
      <c r="J56" s="34" t="inlineStr">
        <is>
          <t>Pass</t>
        </is>
      </c>
      <c r="K56" s="34" t="inlineStr">
        <is>
          <t>mcr-1.1</t>
        </is>
      </c>
      <c r="L56" s="34" t="inlineStr">
        <is>
          <t>mcr-1.1</t>
        </is>
      </c>
      <c r="M56" s="34" t="inlineStr">
        <is>
          <t>ALLELEX</t>
        </is>
      </c>
      <c r="N56" s="34" t="inlineStr">
        <is>
          <t>100.00</t>
        </is>
      </c>
      <c r="O56" s="34" t="inlineStr">
        <is>
          <t>100.00</t>
        </is>
      </c>
      <c r="P56" s="34" t="inlineStr">
        <is>
          <t>JBPBSQ010000054.1</t>
        </is>
      </c>
      <c r="Q56" s="34" t="inlineStr">
        <is>
          <t>mcr-1.1</t>
        </is>
      </c>
      <c r="R56" s="34" t="inlineStr">
        <is>
          <t>mcr-1.1_1</t>
        </is>
      </c>
      <c r="S56" s="34" t="inlineStr">
        <is>
          <t>none</t>
        </is>
      </c>
      <c r="T56" s="34" t="inlineStr">
        <is>
          <t>plasmid</t>
        </is>
      </c>
      <c r="U56" s="34" t="inlineStr">
        <is>
          <t>IncI2</t>
        </is>
      </c>
      <c r="V56" s="34" t="inlineStr">
        <is>
          <t>MOBP</t>
        </is>
      </c>
      <c r="W56" s="35" t="n">
        <v>58934</v>
      </c>
      <c r="X56" s="34" t="inlineStr">
        <is>
          <t>155</t>
        </is>
      </c>
      <c r="Y56" s="34" t="inlineStr">
        <is>
          <t>adk(6) fumC(4) gyrB(14) icd(16) mdh(24) purA(8) recA(14)</t>
        </is>
      </c>
      <c r="Z56" s="34" t="inlineStr">
        <is>
          <t>ColpVC_1, IncFIB(AP001918)_1, IncI1_1_Alpha, IncI2_1</t>
        </is>
      </c>
    </row>
    <row r="57" ht="15" customHeight="1" s="20">
      <c r="A57" s="34" t="inlineStr">
        <is>
          <t>SAMN48947200</t>
        </is>
      </c>
      <c r="B57" s="34" t="inlineStr">
        <is>
          <t>GCA_050938755.1</t>
        </is>
      </c>
      <c r="C57" s="34" t="inlineStr">
        <is>
          <t>B (GenBank assembly)</t>
        </is>
      </c>
      <c r="D57" s="35" t="n"/>
      <c r="E57" s="36">
        <f>IF(D57="","",D57/5100000)</f>
        <v/>
      </c>
      <c r="F57" s="35" t="n">
        <v>154</v>
      </c>
      <c r="G57" s="35" t="n">
        <v>5122722</v>
      </c>
      <c r="H57" s="35" t="n">
        <v>102396</v>
      </c>
      <c r="I57" s="34" t="n">
        <v>50.25</v>
      </c>
      <c r="J57" s="34" t="inlineStr">
        <is>
          <t>Pass</t>
        </is>
      </c>
      <c r="K57" s="34" t="inlineStr">
        <is>
          <t>mcr-1.1</t>
        </is>
      </c>
      <c r="L57" s="34" t="inlineStr">
        <is>
          <t>mcr-1.1</t>
        </is>
      </c>
      <c r="M57" s="34" t="inlineStr">
        <is>
          <t>ALLELEX</t>
        </is>
      </c>
      <c r="N57" s="34" t="inlineStr">
        <is>
          <t>100.00</t>
        </is>
      </c>
      <c r="O57" s="34" t="inlineStr">
        <is>
          <t>100.00</t>
        </is>
      </c>
      <c r="P57" s="34" t="inlineStr">
        <is>
          <t>JBPBSU010000026.1</t>
        </is>
      </c>
      <c r="Q57" s="34" t="inlineStr">
        <is>
          <t>mcr-1.1</t>
        </is>
      </c>
      <c r="R57" s="34" t="inlineStr">
        <is>
          <t>mcr-1.1_1</t>
        </is>
      </c>
      <c r="S57" s="34" t="inlineStr">
        <is>
          <t>IncI2_1</t>
        </is>
      </c>
      <c r="T57" s="34" t="n"/>
      <c r="U57" s="34" t="n"/>
      <c r="V57" s="34" t="n"/>
      <c r="W57" s="35" t="n"/>
      <c r="X57" s="34" t="inlineStr">
        <is>
          <t>93</t>
        </is>
      </c>
      <c r="Y57" s="34" t="inlineStr">
        <is>
          <t>adk(6) fumC(11) gyrB(4) icd(10) mdh(7) purA(8) recA(6)</t>
        </is>
      </c>
      <c r="Z57" s="34" t="inlineStr">
        <is>
          <t>IncFIA_1, IncFIB(AP001918)_1, IncFIC(FII)_1, IncHI2A_1, IncHI2_1, IncI2_1, IncQ1_1</t>
        </is>
      </c>
    </row>
    <row r="58" ht="15" customHeight="1" s="20">
      <c r="A58" s="34" t="inlineStr">
        <is>
          <t>SAMN48947206</t>
        </is>
      </c>
      <c r="B58" s="34" t="inlineStr">
        <is>
          <t>GCA_050938735.1</t>
        </is>
      </c>
      <c r="C58" s="34" t="inlineStr">
        <is>
          <t>B (GenBank assembly)</t>
        </is>
      </c>
      <c r="D58" s="35" t="n"/>
      <c r="E58" s="36">
        <f>IF(D58="","",D58/5100000)</f>
        <v/>
      </c>
      <c r="F58" s="35" t="n">
        <v>126</v>
      </c>
      <c r="G58" s="35" t="n">
        <v>4993587</v>
      </c>
      <c r="H58" s="35" t="n">
        <v>115469</v>
      </c>
      <c r="I58" s="34" t="n">
        <v>50.41</v>
      </c>
      <c r="J58" s="34" t="inlineStr">
        <is>
          <t>Pass</t>
        </is>
      </c>
      <c r="K58" s="34" t="inlineStr">
        <is>
          <t>mcr-1.5</t>
        </is>
      </c>
      <c r="L58" s="34" t="inlineStr">
        <is>
          <t>mcr-1.5</t>
        </is>
      </c>
      <c r="M58" s="34" t="inlineStr">
        <is>
          <t>ALLELEX</t>
        </is>
      </c>
      <c r="N58" s="34" t="inlineStr">
        <is>
          <t>100.00</t>
        </is>
      </c>
      <c r="O58" s="34" t="inlineStr">
        <is>
          <t>100.00</t>
        </is>
      </c>
      <c r="P58" s="34" t="inlineStr">
        <is>
          <t>JBPBSO010000088.1</t>
        </is>
      </c>
      <c r="Q58" s="34" t="inlineStr">
        <is>
          <t>mcr-1.5</t>
        </is>
      </c>
      <c r="R58" s="34" t="inlineStr">
        <is>
          <t>mcr-1.5_1</t>
        </is>
      </c>
      <c r="S58" s="34" t="inlineStr">
        <is>
          <t>none</t>
        </is>
      </c>
      <c r="T58" s="34" t="inlineStr">
        <is>
          <t>plasmid</t>
        </is>
      </c>
      <c r="U58" s="34" t="inlineStr">
        <is>
          <t>IncI2</t>
        </is>
      </c>
      <c r="V58" s="34" t="inlineStr">
        <is>
          <t>MOBP</t>
        </is>
      </c>
      <c r="W58" s="35" t="n">
        <v>67497</v>
      </c>
      <c r="X58" s="34" t="inlineStr">
        <is>
          <t>744</t>
        </is>
      </c>
      <c r="Y58" s="34" t="inlineStr">
        <is>
          <t>adk(10) fumC(11) gyrB(135) icd(8) mdh(8) purA(8) recA(2)</t>
        </is>
      </c>
      <c r="Z58" s="34" t="inlineStr">
        <is>
          <t>IncFIA_1, IncFIB(AP001918)_1, IncFIC(FII)_1, IncI2_1_Delta</t>
        </is>
      </c>
    </row>
    <row r="59" ht="15" customHeight="1" s="20">
      <c r="A59" s="34" t="inlineStr">
        <is>
          <t>SAMN48947212</t>
        </is>
      </c>
      <c r="B59" s="34" t="inlineStr">
        <is>
          <t>GCA_050938595.1</t>
        </is>
      </c>
      <c r="C59" s="34" t="inlineStr">
        <is>
          <t>B (GenBank assembly)</t>
        </is>
      </c>
      <c r="D59" s="35" t="n"/>
      <c r="E59" s="36">
        <f>IF(D59="","",D59/5100000)</f>
        <v/>
      </c>
      <c r="F59" s="35" t="n">
        <v>66</v>
      </c>
      <c r="G59" s="35" t="n">
        <v>4928797</v>
      </c>
      <c r="H59" s="35" t="n">
        <v>206825</v>
      </c>
      <c r="I59" s="34" t="n">
        <v>50.68</v>
      </c>
      <c r="J59" s="34" t="inlineStr">
        <is>
          <t>Pass</t>
        </is>
      </c>
      <c r="K59" s="34" t="inlineStr">
        <is>
          <t>mcr-1.1</t>
        </is>
      </c>
      <c r="L59" s="34" t="inlineStr">
        <is>
          <t>mcr-1.1</t>
        </is>
      </c>
      <c r="M59" s="34" t="inlineStr">
        <is>
          <t>ALLELEX</t>
        </is>
      </c>
      <c r="N59" s="34" t="inlineStr">
        <is>
          <t>100.00</t>
        </is>
      </c>
      <c r="O59" s="34" t="inlineStr">
        <is>
          <t>100.00</t>
        </is>
      </c>
      <c r="P59" s="34" t="inlineStr">
        <is>
          <t>JBPBSI010000035.1</t>
        </is>
      </c>
      <c r="Q59" s="34" t="inlineStr">
        <is>
          <t>mcr-1.1</t>
        </is>
      </c>
      <c r="R59" s="34" t="inlineStr">
        <is>
          <t>mcr-1.1_1</t>
        </is>
      </c>
      <c r="S59" s="34" t="inlineStr">
        <is>
          <t>none</t>
        </is>
      </c>
      <c r="T59" s="34" t="inlineStr">
        <is>
          <t>plasmid</t>
        </is>
      </c>
      <c r="U59" s="34" t="inlineStr">
        <is>
          <t>IncI2</t>
        </is>
      </c>
      <c r="V59" s="34" t="inlineStr">
        <is>
          <t>MOBP</t>
        </is>
      </c>
      <c r="W59" s="35" t="n">
        <v>62636</v>
      </c>
      <c r="X59" s="34" t="inlineStr">
        <is>
          <t>224</t>
        </is>
      </c>
      <c r="Y59" s="34" t="inlineStr">
        <is>
          <t>adk(6) fumC(4) gyrB(33) icd(16) mdh(11) purA(8) recA(6)</t>
        </is>
      </c>
      <c r="Z59" s="34" t="inlineStr">
        <is>
          <t>IncI2_1_Delta, IncX4_1</t>
        </is>
      </c>
    </row>
    <row r="60" ht="15" customHeight="1" s="20">
      <c r="A60" s="34" t="inlineStr">
        <is>
          <t>SAMN48947214</t>
        </is>
      </c>
      <c r="B60" s="34" t="inlineStr">
        <is>
          <t>GCA_050938575.1</t>
        </is>
      </c>
      <c r="C60" s="34" t="inlineStr">
        <is>
          <t>B (GenBank assembly)</t>
        </is>
      </c>
      <c r="D60" s="35" t="n"/>
      <c r="E60" s="36">
        <f>IF(D60="","",D60/5100000)</f>
        <v/>
      </c>
      <c r="F60" s="35" t="n">
        <v>118</v>
      </c>
      <c r="G60" s="35" t="n">
        <v>4997979</v>
      </c>
      <c r="H60" s="35" t="n">
        <v>136919</v>
      </c>
      <c r="I60" s="34" t="n">
        <v>50.7</v>
      </c>
      <c r="J60" s="34" t="inlineStr">
        <is>
          <t>Pass</t>
        </is>
      </c>
      <c r="K60" s="34" t="inlineStr">
        <is>
          <t>mcr-1.1</t>
        </is>
      </c>
      <c r="L60" s="34" t="inlineStr">
        <is>
          <t>mcr-1.1</t>
        </is>
      </c>
      <c r="M60" s="34" t="inlineStr">
        <is>
          <t>ALLELEX</t>
        </is>
      </c>
      <c r="N60" s="34" t="inlineStr">
        <is>
          <t>100.00</t>
        </is>
      </c>
      <c r="O60" s="34" t="inlineStr">
        <is>
          <t>100.00</t>
        </is>
      </c>
      <c r="P60" s="34" t="inlineStr">
        <is>
          <t>JBPBSG010000047.1</t>
        </is>
      </c>
      <c r="Q60" s="34" t="inlineStr">
        <is>
          <t>mcr-1.1</t>
        </is>
      </c>
      <c r="R60" s="34" t="inlineStr">
        <is>
          <t>mcr-1.1_1</t>
        </is>
      </c>
      <c r="S60" s="34" t="inlineStr">
        <is>
          <t>none</t>
        </is>
      </c>
      <c r="T60" s="34" t="inlineStr">
        <is>
          <t>plasmid</t>
        </is>
      </c>
      <c r="U60" s="34" t="inlineStr">
        <is>
          <t>IncI2</t>
        </is>
      </c>
      <c r="V60" s="34" t="inlineStr">
        <is>
          <t>MOBP,MOBP</t>
        </is>
      </c>
      <c r="W60" s="35" t="n">
        <v>67276</v>
      </c>
      <c r="X60" s="34" t="inlineStr">
        <is>
          <t>226</t>
        </is>
      </c>
      <c r="Y60" s="34" t="inlineStr">
        <is>
          <t>adk(10) fumC(27) gyrB(5) icd(8) mdh(8) purA(7) recA(2)</t>
        </is>
      </c>
      <c r="Z60" s="34" t="inlineStr">
        <is>
          <t>IncFIB(K)_1_Kpn3, IncI2_1_Delta</t>
        </is>
      </c>
    </row>
    <row r="61" ht="15" customHeight="1" s="20">
      <c r="A61" s="34" t="inlineStr">
        <is>
          <t>SAMN48947183</t>
        </is>
      </c>
      <c r="B61" s="34" t="inlineStr">
        <is>
          <t>GCA_050938555.1</t>
        </is>
      </c>
      <c r="C61" s="34" t="inlineStr">
        <is>
          <t>B (GenBank assembly)</t>
        </is>
      </c>
      <c r="D61" s="35" t="n"/>
      <c r="E61" s="36">
        <f>IF(D61="","",D61/5100000)</f>
        <v/>
      </c>
      <c r="F61" s="35" t="n">
        <v>128</v>
      </c>
      <c r="G61" s="35" t="n">
        <v>4944864</v>
      </c>
      <c r="H61" s="35" t="n">
        <v>137432</v>
      </c>
      <c r="I61" s="34" t="n">
        <v>50.5</v>
      </c>
      <c r="J61" s="34" t="inlineStr">
        <is>
          <t>Pass</t>
        </is>
      </c>
      <c r="K61" s="34" t="inlineStr">
        <is>
          <t>mcr-1.1</t>
        </is>
      </c>
      <c r="L61" s="34" t="inlineStr">
        <is>
          <t>mcr-1.1</t>
        </is>
      </c>
      <c r="M61" s="34" t="inlineStr">
        <is>
          <t>ALLELEX</t>
        </is>
      </c>
      <c r="N61" s="34" t="inlineStr">
        <is>
          <t>100.00</t>
        </is>
      </c>
      <c r="O61" s="34" t="inlineStr">
        <is>
          <t>100.00</t>
        </is>
      </c>
      <c r="P61" s="34" t="inlineStr">
        <is>
          <t>JBPBTL010000057.1</t>
        </is>
      </c>
      <c r="Q61" s="34" t="inlineStr">
        <is>
          <t>mcr-1.1</t>
        </is>
      </c>
      <c r="R61" s="34" t="inlineStr">
        <is>
          <t>mcr-1.1_1</t>
        </is>
      </c>
      <c r="S61" s="34" t="inlineStr">
        <is>
          <t>none</t>
        </is>
      </c>
      <c r="T61" s="34" t="inlineStr">
        <is>
          <t>plasmid</t>
        </is>
      </c>
      <c r="U61" s="34" t="inlineStr">
        <is>
          <t>IncI2</t>
        </is>
      </c>
      <c r="V61" s="34" t="inlineStr">
        <is>
          <t>MOBP</t>
        </is>
      </c>
      <c r="W61" s="35" t="n">
        <v>62398</v>
      </c>
      <c r="X61" s="34" t="inlineStr">
        <is>
          <t>6756</t>
        </is>
      </c>
      <c r="Y61" s="34" t="inlineStr">
        <is>
          <t>adk(136) fumC(7) gyrB(4) icd(8) mdh(561) purA(8) recA(2)</t>
        </is>
      </c>
      <c r="Z61" s="34" t="inlineStr">
        <is>
          <t>IncFIB(AP001918)_1, IncI2_1_Delta</t>
        </is>
      </c>
    </row>
    <row r="62" ht="15" customHeight="1" s="20">
      <c r="A62" s="34" t="inlineStr">
        <is>
          <t>SAMN48947189</t>
        </is>
      </c>
      <c r="B62" s="34" t="inlineStr">
        <is>
          <t>GCA_050938535.1</t>
        </is>
      </c>
      <c r="C62" s="34" t="inlineStr">
        <is>
          <t>B (GenBank assembly)</t>
        </is>
      </c>
      <c r="D62" s="35" t="n"/>
      <c r="E62" s="36">
        <f>IF(D62="","",D62/5100000)</f>
        <v/>
      </c>
      <c r="F62" s="35" t="n">
        <v>203</v>
      </c>
      <c r="G62" s="35" t="n">
        <v>5214674</v>
      </c>
      <c r="H62" s="35" t="n">
        <v>168626</v>
      </c>
      <c r="I62" s="34" t="n">
        <v>50.62</v>
      </c>
      <c r="J62" s="34" t="inlineStr">
        <is>
          <t>Pass</t>
        </is>
      </c>
      <c r="K62" s="34" t="inlineStr">
        <is>
          <t>mcr-1.1</t>
        </is>
      </c>
      <c r="L62" s="34" t="inlineStr">
        <is>
          <t>mcr-1.1</t>
        </is>
      </c>
      <c r="M62" s="34" t="inlineStr">
        <is>
          <t>ALLELEX</t>
        </is>
      </c>
      <c r="N62" s="34" t="inlineStr">
        <is>
          <t>100.00</t>
        </is>
      </c>
      <c r="O62" s="34" t="inlineStr">
        <is>
          <t>100.00</t>
        </is>
      </c>
      <c r="P62" s="34" t="inlineStr">
        <is>
          <t>JBPBTF010000027.1</t>
        </is>
      </c>
      <c r="Q62" s="34" t="inlineStr">
        <is>
          <t>mcr-1.1</t>
        </is>
      </c>
      <c r="R62" s="34" t="inlineStr">
        <is>
          <t>mcr-1.1_1</t>
        </is>
      </c>
      <c r="S62" s="34" t="inlineStr">
        <is>
          <t>IncI2_1_Delta</t>
        </is>
      </c>
      <c r="T62" s="34" t="n"/>
      <c r="U62" s="34" t="n"/>
      <c r="V62" s="34" t="n"/>
      <c r="W62" s="35" t="n"/>
      <c r="X62" s="34" t="inlineStr">
        <is>
          <t>117</t>
        </is>
      </c>
      <c r="Y62" s="34" t="inlineStr">
        <is>
          <t>adk(20) fumC(45) gyrB(41) icd(43) mdh(5) purA(32) recA(2)</t>
        </is>
      </c>
      <c r="Z62" s="34" t="inlineStr">
        <is>
          <t>IncFIB(AP001918)_1, IncFIC(FII)_1, IncI2_1_Delta</t>
        </is>
      </c>
    </row>
    <row r="63" ht="15" customHeight="1" s="20">
      <c r="A63" s="34" t="inlineStr">
        <is>
          <t>SAMN48947187</t>
        </is>
      </c>
      <c r="B63" s="34" t="inlineStr">
        <is>
          <t>GCA_050938515.1</t>
        </is>
      </c>
      <c r="C63" s="34" t="inlineStr">
        <is>
          <t>B (GenBank assembly)</t>
        </is>
      </c>
      <c r="D63" s="35" t="n"/>
      <c r="E63" s="36">
        <f>IF(D63="","",D63/5100000)</f>
        <v/>
      </c>
      <c r="F63" s="35" t="n">
        <v>265</v>
      </c>
      <c r="G63" s="35" t="n">
        <v>5379209</v>
      </c>
      <c r="H63" s="35" t="n">
        <v>97351</v>
      </c>
      <c r="I63" s="34" t="n">
        <v>50.35</v>
      </c>
      <c r="J63" s="34" t="inlineStr">
        <is>
          <t>Pass</t>
        </is>
      </c>
      <c r="K63" s="34" t="inlineStr">
        <is>
          <t>mcr-1.1</t>
        </is>
      </c>
      <c r="L63" s="34" t="inlineStr">
        <is>
          <t>mcr-1.1</t>
        </is>
      </c>
      <c r="M63" s="34" t="inlineStr">
        <is>
          <t>ALLELEX</t>
        </is>
      </c>
      <c r="N63" s="34" t="inlineStr">
        <is>
          <t>100.00</t>
        </is>
      </c>
      <c r="O63" s="34" t="inlineStr">
        <is>
          <t>100.00</t>
        </is>
      </c>
      <c r="P63" s="34" t="inlineStr">
        <is>
          <t>JBPBTH010000029.1</t>
        </is>
      </c>
      <c r="Q63" s="34" t="inlineStr">
        <is>
          <t>mcr-1.1</t>
        </is>
      </c>
      <c r="R63" s="34" t="inlineStr">
        <is>
          <t>mcr-1.1_1</t>
        </is>
      </c>
      <c r="S63" s="34" t="inlineStr">
        <is>
          <t>IncI2_1_Delta</t>
        </is>
      </c>
      <c r="T63" s="34" t="n"/>
      <c r="U63" s="34" t="n"/>
      <c r="V63" s="34" t="n"/>
      <c r="W63" s="35" t="n"/>
      <c r="X63" s="34" t="inlineStr">
        <is>
          <t>189</t>
        </is>
      </c>
      <c r="Y63" s="34" t="inlineStr">
        <is>
          <t>adk(10) fumC(27) gyrB(5) icd(10) mdh(12) purA(8) recA(49)</t>
        </is>
      </c>
      <c r="Z63" s="34" t="inlineStr">
        <is>
          <t>IncI1_1_Alpha, IncI2_1_Delta, IncX1_1, p0111_1</t>
        </is>
      </c>
    </row>
    <row r="64" ht="15" customHeight="1" s="20">
      <c r="A64" s="34" t="inlineStr">
        <is>
          <t>SAMN48947190</t>
        </is>
      </c>
      <c r="B64" s="34" t="inlineStr">
        <is>
          <t>GCA_050938495.1</t>
        </is>
      </c>
      <c r="C64" s="34" t="inlineStr">
        <is>
          <t>B (GenBank assembly)</t>
        </is>
      </c>
      <c r="D64" s="35" t="n"/>
      <c r="E64" s="36">
        <f>IF(D64="","",D64/5100000)</f>
        <v/>
      </c>
      <c r="F64" s="35" t="n">
        <v>164</v>
      </c>
      <c r="G64" s="35" t="n">
        <v>5776593</v>
      </c>
      <c r="H64" s="35" t="n">
        <v>182760</v>
      </c>
      <c r="I64" s="34" t="n">
        <v>50.35</v>
      </c>
      <c r="J64" s="34" t="inlineStr">
        <is>
          <t>Pass</t>
        </is>
      </c>
      <c r="K64" s="34" t="inlineStr">
        <is>
          <t>mcr-1.1</t>
        </is>
      </c>
      <c r="L64" s="34" t="inlineStr">
        <is>
          <t>mcr-1.1</t>
        </is>
      </c>
      <c r="M64" s="34" t="inlineStr">
        <is>
          <t>ALLELEX</t>
        </is>
      </c>
      <c r="N64" s="34" t="inlineStr">
        <is>
          <t>100.00</t>
        </is>
      </c>
      <c r="O64" s="34" t="inlineStr">
        <is>
          <t>100.00</t>
        </is>
      </c>
      <c r="P64" s="34" t="inlineStr">
        <is>
          <t>JBPBTE010000027.1</t>
        </is>
      </c>
      <c r="Q64" s="34" t="inlineStr">
        <is>
          <t>mcr-1.1</t>
        </is>
      </c>
      <c r="R64" s="34" t="inlineStr">
        <is>
          <t>mcr-1.1_1</t>
        </is>
      </c>
      <c r="S64" s="34" t="inlineStr">
        <is>
          <t>IncI2_1_Delta</t>
        </is>
      </c>
      <c r="T64" s="34" t="n"/>
      <c r="U64" s="34" t="n"/>
      <c r="V64" s="34" t="n"/>
      <c r="W64" s="35" t="n"/>
      <c r="X64" s="34" t="inlineStr">
        <is>
          <t>770</t>
        </is>
      </c>
      <c r="Y64" s="34" t="inlineStr">
        <is>
          <t>adk(52) fumC(116) gyrB(55) icd(101) mdh(113) purA(40) recA(38)</t>
        </is>
      </c>
      <c r="Z64" s="34" t="inlineStr">
        <is>
          <t>Col156_1, ColpVC_1, IncFIB(AP001918)_1, IncI2_1_Delta, p0111_1</t>
        </is>
      </c>
    </row>
    <row r="65" ht="15" customHeight="1" s="20">
      <c r="A65" s="34" t="inlineStr">
        <is>
          <t>SAMN48947192</t>
        </is>
      </c>
      <c r="B65" s="34" t="inlineStr">
        <is>
          <t>GCA_050938475.1</t>
        </is>
      </c>
      <c r="C65" s="34" t="inlineStr">
        <is>
          <t>B (GenBank assembly)</t>
        </is>
      </c>
      <c r="D65" s="35" t="n"/>
      <c r="E65" s="36">
        <f>IF(D65="","",D65/5100000)</f>
        <v/>
      </c>
      <c r="F65" s="35" t="n">
        <v>90</v>
      </c>
      <c r="G65" s="35" t="n">
        <v>4848926</v>
      </c>
      <c r="H65" s="35" t="n">
        <v>211038</v>
      </c>
      <c r="I65" s="34" t="n">
        <v>50.55</v>
      </c>
      <c r="J65" s="34" t="inlineStr">
        <is>
          <t>Pass</t>
        </is>
      </c>
      <c r="K65" s="34" t="inlineStr">
        <is>
          <t>mcr-1.1</t>
        </is>
      </c>
      <c r="L65" s="34" t="inlineStr">
        <is>
          <t>mcr-1.1</t>
        </is>
      </c>
      <c r="M65" s="34" t="inlineStr">
        <is>
          <t>ALLELEX</t>
        </is>
      </c>
      <c r="N65" s="34" t="inlineStr">
        <is>
          <t>100.00</t>
        </is>
      </c>
      <c r="O65" s="34" t="inlineStr">
        <is>
          <t>100.00</t>
        </is>
      </c>
      <c r="P65" s="34" t="inlineStr">
        <is>
          <t>JBPBTC010000022.1</t>
        </is>
      </c>
      <c r="Q65" s="34" t="inlineStr">
        <is>
          <t>mcr-1.1</t>
        </is>
      </c>
      <c r="R65" s="34" t="inlineStr">
        <is>
          <t>mcr-1.1_1</t>
        </is>
      </c>
      <c r="S65" s="34" t="inlineStr">
        <is>
          <t>IncI2_1</t>
        </is>
      </c>
      <c r="T65" s="34" t="n"/>
      <c r="U65" s="34" t="n"/>
      <c r="V65" s="34" t="n"/>
      <c r="W65" s="35" t="n"/>
      <c r="X65" s="34" t="inlineStr">
        <is>
          <t>3941</t>
        </is>
      </c>
      <c r="Y65" s="34" t="inlineStr">
        <is>
          <t>adk(6) fumC(511) gyrB(4) icd(10) mdh(7) purA(8) recA(6)</t>
        </is>
      </c>
      <c r="Z65" s="34" t="inlineStr">
        <is>
          <t>IncFIA_1, IncFIB(AP001918)_1, IncI2_1</t>
        </is>
      </c>
    </row>
    <row r="66" ht="15" customHeight="1" s="20">
      <c r="A66" s="34" t="inlineStr">
        <is>
          <t>SAMN48947197</t>
        </is>
      </c>
      <c r="B66" s="34" t="inlineStr">
        <is>
          <t>GCA_050938435.1</t>
        </is>
      </c>
      <c r="C66" s="34" t="inlineStr">
        <is>
          <t>B (GenBank assembly)</t>
        </is>
      </c>
      <c r="D66" s="35" t="n"/>
      <c r="E66" s="36">
        <f>IF(D66="","",D66/5100000)</f>
        <v/>
      </c>
      <c r="F66" s="35" t="n">
        <v>230</v>
      </c>
      <c r="G66" s="35" t="n">
        <v>5369373</v>
      </c>
      <c r="H66" s="35" t="n">
        <v>98354</v>
      </c>
      <c r="I66" s="34" t="n">
        <v>50.35</v>
      </c>
      <c r="J66" s="34" t="inlineStr">
        <is>
          <t>Pass</t>
        </is>
      </c>
      <c r="K66" s="34" t="inlineStr">
        <is>
          <t>mcr-1.1</t>
        </is>
      </c>
      <c r="L66" s="34" t="inlineStr">
        <is>
          <t>mcr-1.1</t>
        </is>
      </c>
      <c r="M66" s="34" t="inlineStr">
        <is>
          <t>ALLELEX</t>
        </is>
      </c>
      <c r="N66" s="34" t="inlineStr">
        <is>
          <t>100.00</t>
        </is>
      </c>
      <c r="O66" s="34" t="inlineStr">
        <is>
          <t>100.00</t>
        </is>
      </c>
      <c r="P66" s="34" t="inlineStr">
        <is>
          <t>JBPBSX010000028.1</t>
        </is>
      </c>
      <c r="Q66" s="34" t="inlineStr">
        <is>
          <t>mcr-1.1</t>
        </is>
      </c>
      <c r="R66" s="34" t="inlineStr">
        <is>
          <t>mcr-1.1_1</t>
        </is>
      </c>
      <c r="S66" s="34" t="inlineStr">
        <is>
          <t>IncI2_1_Delta</t>
        </is>
      </c>
      <c r="T66" s="34" t="n"/>
      <c r="U66" s="34" t="n"/>
      <c r="V66" s="34" t="n"/>
      <c r="W66" s="35" t="n"/>
      <c r="X66" s="34" t="inlineStr">
        <is>
          <t>189</t>
        </is>
      </c>
      <c r="Y66" s="34" t="inlineStr">
        <is>
          <t>adk(10) fumC(27) gyrB(5) icd(10) mdh(12) purA(8) recA(49)</t>
        </is>
      </c>
      <c r="Z66" s="34" t="inlineStr">
        <is>
          <t>IncI1_1_Alpha, IncI2_1_Delta, IncX1_1, p0111_1</t>
        </is>
      </c>
    </row>
    <row r="67" ht="15" customHeight="1" s="20">
      <c r="A67" s="34" t="inlineStr">
        <is>
          <t>SAMN48947194</t>
        </is>
      </c>
      <c r="B67" s="34" t="inlineStr">
        <is>
          <t>GCA_050938415.1</t>
        </is>
      </c>
      <c r="C67" s="34" t="inlineStr">
        <is>
          <t>B (GenBank assembly)</t>
        </is>
      </c>
      <c r="D67" s="35" t="n"/>
      <c r="E67" s="36">
        <f>IF(D67="","",D67/5100000)</f>
        <v/>
      </c>
      <c r="F67" s="35" t="n">
        <v>156</v>
      </c>
      <c r="G67" s="35" t="n">
        <v>5328702</v>
      </c>
      <c r="H67" s="35" t="n">
        <v>160122</v>
      </c>
      <c r="I67" s="34" t="n">
        <v>50.16</v>
      </c>
      <c r="J67" s="34" t="inlineStr">
        <is>
          <t>Pass</t>
        </is>
      </c>
      <c r="K67" s="34" t="inlineStr">
        <is>
          <t>mcr-1.1</t>
        </is>
      </c>
      <c r="L67" s="34" t="inlineStr">
        <is>
          <t>mcr-1.1</t>
        </is>
      </c>
      <c r="M67" s="34" t="inlineStr">
        <is>
          <t>ALLELEX</t>
        </is>
      </c>
      <c r="N67" s="34" t="inlineStr">
        <is>
          <t>100.00</t>
        </is>
      </c>
      <c r="O67" s="34" t="inlineStr">
        <is>
          <t>100.00</t>
        </is>
      </c>
      <c r="P67" s="34" t="inlineStr">
        <is>
          <t>JBPBTA010000026.1</t>
        </is>
      </c>
      <c r="Q67" s="34" t="inlineStr">
        <is>
          <t>mcr-1.1</t>
        </is>
      </c>
      <c r="R67" s="34" t="inlineStr">
        <is>
          <t>mcr-1.1_1</t>
        </is>
      </c>
      <c r="S67" s="34" t="inlineStr">
        <is>
          <t>IncI2_1_Delta</t>
        </is>
      </c>
      <c r="T67" s="34" t="n"/>
      <c r="U67" s="34" t="n"/>
      <c r="V67" s="34" t="n"/>
      <c r="W67" s="35" t="n"/>
      <c r="X67" s="34" t="inlineStr">
        <is>
          <t>354</t>
        </is>
      </c>
      <c r="Y67" s="34" t="inlineStr">
        <is>
          <t>adk(85) fumC(88) gyrB(78) icd(29) mdh(59) purA(58) recA(62)</t>
        </is>
      </c>
      <c r="Z67" s="34" t="inlineStr">
        <is>
          <t>IncHI2A_1, IncHI2_1, IncI2_1_Delta</t>
        </is>
      </c>
    </row>
    <row r="68" ht="15" customHeight="1" s="20">
      <c r="A68" s="34" t="inlineStr">
        <is>
          <t>SAMN48947198</t>
        </is>
      </c>
      <c r="B68" s="34" t="inlineStr">
        <is>
          <t>GCA_050938395.1</t>
        </is>
      </c>
      <c r="C68" s="34" t="inlineStr">
        <is>
          <t>B (GenBank assembly)</t>
        </is>
      </c>
      <c r="D68" s="35" t="n"/>
      <c r="E68" s="36">
        <f>IF(D68="","",D68/5100000)</f>
        <v/>
      </c>
      <c r="F68" s="35" t="n">
        <v>107</v>
      </c>
      <c r="G68" s="35" t="n">
        <v>5106503</v>
      </c>
      <c r="H68" s="35" t="n">
        <v>184592</v>
      </c>
      <c r="I68" s="34" t="n">
        <v>50.47</v>
      </c>
      <c r="J68" s="34" t="inlineStr">
        <is>
          <t>Pass</t>
        </is>
      </c>
      <c r="K68" s="34" t="inlineStr">
        <is>
          <t>mcr-1.1</t>
        </is>
      </c>
      <c r="L68" s="34" t="inlineStr">
        <is>
          <t>mcr-1.1</t>
        </is>
      </c>
      <c r="M68" s="34" t="inlineStr">
        <is>
          <t>ALLELEX</t>
        </is>
      </c>
      <c r="N68" s="34" t="inlineStr">
        <is>
          <t>100.00</t>
        </is>
      </c>
      <c r="O68" s="34" t="inlineStr">
        <is>
          <t>100.00</t>
        </is>
      </c>
      <c r="P68" s="34" t="inlineStr">
        <is>
          <t>JBPBSW010000027.1</t>
        </is>
      </c>
      <c r="Q68" s="34" t="inlineStr">
        <is>
          <t>mcr-1.1</t>
        </is>
      </c>
      <c r="R68" s="34" t="inlineStr">
        <is>
          <t>mcr-1.1_1</t>
        </is>
      </c>
      <c r="S68" s="34" t="inlineStr">
        <is>
          <t>IncI2_1_Delta</t>
        </is>
      </c>
      <c r="T68" s="34" t="n"/>
      <c r="U68" s="34" t="n"/>
      <c r="V68" s="34" t="n"/>
      <c r="W68" s="35" t="n"/>
      <c r="X68" s="34" t="inlineStr">
        <is>
          <t>162</t>
        </is>
      </c>
      <c r="Y68" s="34" t="inlineStr">
        <is>
          <t>adk(9) fumC(65) gyrB(5) icd(1) mdh(9) purA(13) recA(6)</t>
        </is>
      </c>
      <c r="Z68" s="34" t="inlineStr">
        <is>
          <t>IncFIB(AP001918)_1, IncFIC(FII)_1, IncI2_1_Delta, p0111_1</t>
        </is>
      </c>
    </row>
    <row r="69" ht="15" customHeight="1" s="20">
      <c r="A69" s="34" t="inlineStr">
        <is>
          <t>SAMN48122305</t>
        </is>
      </c>
      <c r="B69" s="34" t="inlineStr">
        <is>
          <t>GCA_050106675.1</t>
        </is>
      </c>
      <c r="C69" s="34" t="inlineStr">
        <is>
          <t>B (GenBank assembly)</t>
        </is>
      </c>
      <c r="D69" s="35" t="n"/>
      <c r="E69" s="36">
        <f>IF(D69="","",D69/5100000)</f>
        <v/>
      </c>
      <c r="F69" s="35" t="n">
        <v>231</v>
      </c>
      <c r="G69" s="35" t="n">
        <v>4901238</v>
      </c>
      <c r="H69" s="35" t="n">
        <v>48593</v>
      </c>
      <c r="I69" s="34" t="n">
        <v>50.75</v>
      </c>
      <c r="J69" s="34" t="inlineStr">
        <is>
          <t>Pass</t>
        </is>
      </c>
      <c r="K69" s="34" t="inlineStr">
        <is>
          <t>mcr-9.1</t>
        </is>
      </c>
      <c r="L69" s="34" t="inlineStr">
        <is>
          <t>mcr-9.1</t>
        </is>
      </c>
      <c r="M69" s="34" t="inlineStr">
        <is>
          <t>ALLELEX</t>
        </is>
      </c>
      <c r="N69" s="34" t="inlineStr">
        <is>
          <t>100.00</t>
        </is>
      </c>
      <c r="O69" s="34" t="inlineStr">
        <is>
          <t>100.00</t>
        </is>
      </c>
      <c r="P69" s="34" t="inlineStr">
        <is>
          <t>JBNIJP010000124.1</t>
        </is>
      </c>
      <c r="Q69" s="34" t="inlineStr">
        <is>
          <t>none</t>
        </is>
      </c>
      <c r="R69" s="34" t="inlineStr">
        <is>
          <t>mcr-9.1_1</t>
        </is>
      </c>
      <c r="S69" s="34" t="inlineStr">
        <is>
          <t>none</t>
        </is>
      </c>
      <c r="T69" s="34" t="inlineStr">
        <is>
          <t>chromosome</t>
        </is>
      </c>
      <c r="U69" s="34" t="inlineStr">
        <is>
          <t>-</t>
        </is>
      </c>
      <c r="V69" s="34" t="inlineStr">
        <is>
          <t>-</t>
        </is>
      </c>
      <c r="W69" s="35" t="n"/>
      <c r="X69" s="34" t="inlineStr">
        <is>
          <t>1494</t>
        </is>
      </c>
      <c r="Y69" s="34" t="inlineStr">
        <is>
          <t>adk(1) fumC(4) gyrB(44) icd(9) mdh(11) purA(35) recA(7)</t>
        </is>
      </c>
      <c r="Z69" s="34" t="inlineStr">
        <is>
          <t>IncFIB(AP001918)_1, IncHI2A_1, IncHI2_1, IncX1_1</t>
        </is>
      </c>
    </row>
    <row r="70" ht="15" customHeight="1" s="20">
      <c r="A70" s="34" t="inlineStr">
        <is>
          <t>SAMEA114285223</t>
        </is>
      </c>
      <c r="B70" s="34" t="inlineStr">
        <is>
          <t>ERR13952704</t>
        </is>
      </c>
      <c r="C70" s="34" t="inlineStr">
        <is>
          <t>A (reads, Shovill)</t>
        </is>
      </c>
      <c r="D70" s="35" t="n">
        <v>488974944</v>
      </c>
      <c r="E70" s="36">
        <f>IF(D70="","",D70/5100000)</f>
        <v/>
      </c>
      <c r="F70" s="35" t="n">
        <v>303</v>
      </c>
      <c r="G70" s="35" t="n">
        <v>5741375</v>
      </c>
      <c r="H70" s="35" t="n">
        <v>148283</v>
      </c>
      <c r="I70" s="34" t="n">
        <v>50.35</v>
      </c>
      <c r="J70" s="34" t="inlineStr">
        <is>
          <t>Pass</t>
        </is>
      </c>
      <c r="K70" s="34" t="inlineStr">
        <is>
          <t>mcr-9.1</t>
        </is>
      </c>
      <c r="L70" s="34" t="inlineStr">
        <is>
          <t>mcr-9.1</t>
        </is>
      </c>
      <c r="M70" s="34" t="inlineStr">
        <is>
          <t>ALLELEX</t>
        </is>
      </c>
      <c r="N70" s="34" t="inlineStr">
        <is>
          <t>100.00</t>
        </is>
      </c>
      <c r="O70" s="34" t="inlineStr">
        <is>
          <t>100.00</t>
        </is>
      </c>
      <c r="P70" s="34" t="inlineStr">
        <is>
          <t>contig00028</t>
        </is>
      </c>
      <c r="Q70" s="34" t="inlineStr">
        <is>
          <t>none</t>
        </is>
      </c>
      <c r="R70" s="34" t="inlineStr">
        <is>
          <t>mcr-9.1_1</t>
        </is>
      </c>
      <c r="S70" s="34" t="inlineStr">
        <is>
          <t>none</t>
        </is>
      </c>
      <c r="T70" s="34" t="inlineStr">
        <is>
          <t>plasmid</t>
        </is>
      </c>
      <c r="U70" s="34" t="inlineStr">
        <is>
          <t>IncHI2A,rep_cluster_1088</t>
        </is>
      </c>
      <c r="V70" s="34" t="inlineStr">
        <is>
          <t>MOBH</t>
        </is>
      </c>
      <c r="W70" s="35" t="n">
        <v>235279</v>
      </c>
      <c r="X70" s="34" t="inlineStr">
        <is>
          <t>38</t>
        </is>
      </c>
      <c r="Y70" s="34" t="inlineStr">
        <is>
          <t>adk(4) fumC(26) gyrB(2) icd(25) mdh(5) purA(5) recA(19)</t>
        </is>
      </c>
      <c r="Z70" s="34" t="inlineStr">
        <is>
          <t>IncFIB(pB171)_1_pB171, IncFII(pRSB107)_1_pRSB107, IncHI2A_1, IncY_1</t>
        </is>
      </c>
    </row>
    <row r="71" ht="15" customHeight="1" s="20">
      <c r="A71" s="34" t="inlineStr">
        <is>
          <t>SAMEA114284974</t>
        </is>
      </c>
      <c r="B71" s="34" t="inlineStr">
        <is>
          <t>ERR13952550</t>
        </is>
      </c>
      <c r="C71" s="34" t="inlineStr">
        <is>
          <t>A (reads, Shovill)</t>
        </is>
      </c>
      <c r="D71" s="35" t="n">
        <v>394713510</v>
      </c>
      <c r="E71" s="36">
        <f>IF(D71="","",D71/5100000)</f>
        <v/>
      </c>
      <c r="F71" s="35" t="n">
        <v>256</v>
      </c>
      <c r="G71" s="35" t="n">
        <v>5670848</v>
      </c>
      <c r="H71" s="35" t="n">
        <v>115467</v>
      </c>
      <c r="I71" s="34" t="n">
        <v>50.47</v>
      </c>
      <c r="J71" s="34" t="inlineStr">
        <is>
          <t>Pass</t>
        </is>
      </c>
      <c r="K71" s="34" t="inlineStr">
        <is>
          <t>mcr-9.1</t>
        </is>
      </c>
      <c r="L71" s="34" t="inlineStr">
        <is>
          <t>mcr-9.1</t>
        </is>
      </c>
      <c r="M71" s="34" t="inlineStr">
        <is>
          <t>ALLELEX</t>
        </is>
      </c>
      <c r="N71" s="34" t="inlineStr">
        <is>
          <t>100.00</t>
        </is>
      </c>
      <c r="O71" s="34" t="inlineStr">
        <is>
          <t>100.00</t>
        </is>
      </c>
      <c r="P71" s="34" t="inlineStr">
        <is>
          <t>contig00090</t>
        </is>
      </c>
      <c r="Q71" s="34" t="inlineStr">
        <is>
          <t>none</t>
        </is>
      </c>
      <c r="R71" s="34" t="inlineStr">
        <is>
          <t>mcr-9.1_1</t>
        </is>
      </c>
      <c r="S71" s="34" t="inlineStr">
        <is>
          <t>none</t>
        </is>
      </c>
      <c r="T71" s="34" t="inlineStr">
        <is>
          <t>plasmid</t>
        </is>
      </c>
      <c r="U71" s="34" t="inlineStr">
        <is>
          <t>rep_cluster_1088,IncHI2A</t>
        </is>
      </c>
      <c r="V71" s="34" t="inlineStr">
        <is>
          <t>MOBH</t>
        </is>
      </c>
      <c r="W71" s="35" t="n">
        <v>292478</v>
      </c>
      <c r="X71" s="34" t="inlineStr">
        <is>
          <t>69</t>
        </is>
      </c>
      <c r="Y71" s="34" t="inlineStr">
        <is>
          <t>adk(21) fumC(35) gyrB(27) icd(6) mdh(5) purA(5) recA(4)</t>
        </is>
      </c>
      <c r="Z71" s="34" t="inlineStr">
        <is>
          <t>Col156_1, IncFIB(AP001918)_1, IncFII(29)_1_pUTI89, IncHI2A_1, IncHI2_1, IncQ1_1, p0111_1</t>
        </is>
      </c>
    </row>
    <row r="72" ht="15" customHeight="1" s="20">
      <c r="A72" s="34" t="inlineStr">
        <is>
          <t>SAMN44530435</t>
        </is>
      </c>
      <c r="B72" s="34" t="inlineStr">
        <is>
          <t>GCA_045037815.1</t>
        </is>
      </c>
      <c r="C72" s="34" t="inlineStr">
        <is>
          <t>B (GenBank assembly)</t>
        </is>
      </c>
      <c r="D72" s="35" t="n"/>
      <c r="E72" s="36">
        <f>IF(D72="","",D72/5100000)</f>
        <v/>
      </c>
      <c r="F72" s="35" t="n">
        <v>9</v>
      </c>
      <c r="G72" s="35" t="n">
        <v>5981070</v>
      </c>
      <c r="H72" s="35" t="n">
        <v>5138408</v>
      </c>
      <c r="I72" s="34" t="n">
        <v>50.09</v>
      </c>
      <c r="J72" s="34" t="inlineStr">
        <is>
          <t>Pass</t>
        </is>
      </c>
      <c r="K72" s="34" t="inlineStr">
        <is>
          <t>mcr-1; mcr-1.1</t>
        </is>
      </c>
      <c r="L72" s="34" t="inlineStr">
        <is>
          <t>mcr-1</t>
        </is>
      </c>
      <c r="M72" s="34" t="inlineStr">
        <is>
          <t>PARTIAL_CONTIG_ENDX</t>
        </is>
      </c>
      <c r="N72" s="34" t="inlineStr">
        <is>
          <t>71.53</t>
        </is>
      </c>
      <c r="O72" s="34" t="inlineStr">
        <is>
          <t>100.00</t>
        </is>
      </c>
      <c r="P72" s="34" t="inlineStr">
        <is>
          <t>CP173551.1</t>
        </is>
      </c>
      <c r="Q72" s="34" t="inlineStr">
        <is>
          <t>none</t>
        </is>
      </c>
      <c r="R72" s="34" t="inlineStr">
        <is>
          <t>none</t>
        </is>
      </c>
      <c r="S72" s="34" t="inlineStr">
        <is>
          <t>IncX4_1</t>
        </is>
      </c>
      <c r="T72" s="34" t="n"/>
      <c r="U72" s="34" t="n"/>
      <c r="V72" s="34" t="n"/>
      <c r="W72" s="35" t="n"/>
      <c r="X72" s="34" t="inlineStr">
        <is>
          <t>624</t>
        </is>
      </c>
      <c r="Y72" s="34" t="inlineStr">
        <is>
          <t>adk(92) fumC(4) gyrB(87) icd(96) mdh(70) purA(58) recA(91)</t>
        </is>
      </c>
      <c r="Z72" s="34" t="inlineStr">
        <is>
          <t>IncFIB(AP001918)_1, IncFIB(Mar)_1_pNDM-Mar, IncFII_1, IncHI1B_1_pNDM-MAR, IncHI2A_1, IncHI2_1, IncI1_1_Alpha, IncX4_1</t>
        </is>
      </c>
    </row>
    <row r="73" ht="15" customHeight="1" s="20">
      <c r="A73" s="34" t="inlineStr">
        <is>
          <t>SAMN40756789</t>
        </is>
      </c>
      <c r="B73" s="34" t="inlineStr">
        <is>
          <t>SRR33015174</t>
        </is>
      </c>
      <c r="C73" s="34" t="inlineStr">
        <is>
          <t>A (reads, Shovill)</t>
        </is>
      </c>
      <c r="D73" s="35" t="n">
        <v>678585485</v>
      </c>
      <c r="E73" s="36">
        <f>IF(D73="","",D73/5100000)</f>
        <v/>
      </c>
      <c r="F73" s="35" t="n">
        <v>168</v>
      </c>
      <c r="G73" s="35" t="n">
        <v>5062544</v>
      </c>
      <c r="H73" s="35" t="n">
        <v>141400</v>
      </c>
      <c r="I73" s="34" t="n">
        <v>50.7</v>
      </c>
      <c r="J73" s="34" t="inlineStr">
        <is>
          <t>Pass</t>
        </is>
      </c>
      <c r="K73" s="34" t="inlineStr">
        <is>
          <t>mcr-1</t>
        </is>
      </c>
      <c r="L73" s="34" t="inlineStr">
        <is>
          <t>mcr-1</t>
        </is>
      </c>
      <c r="M73" s="34" t="inlineStr">
        <is>
          <t>PARTIAL_CONTIG_ENDX</t>
        </is>
      </c>
      <c r="N73" s="34" t="inlineStr">
        <is>
          <t>52.78</t>
        </is>
      </c>
      <c r="O73" s="34" t="inlineStr">
        <is>
          <t>100.00</t>
        </is>
      </c>
      <c r="P73" s="34" t="inlineStr">
        <is>
          <t>contig00095</t>
        </is>
      </c>
      <c r="Q73" s="34" t="inlineStr">
        <is>
          <t>none</t>
        </is>
      </c>
      <c r="R73" s="34" t="inlineStr">
        <is>
          <t>none</t>
        </is>
      </c>
      <c r="S73" s="34" t="inlineStr">
        <is>
          <t>none</t>
        </is>
      </c>
      <c r="T73" s="34" t="inlineStr">
        <is>
          <t>chromosome</t>
        </is>
      </c>
      <c r="U73" s="34" t="inlineStr">
        <is>
          <t>-</t>
        </is>
      </c>
      <c r="V73" s="34" t="inlineStr">
        <is>
          <t>-</t>
        </is>
      </c>
      <c r="W73" s="35" t="n"/>
      <c r="X73" s="34" t="inlineStr">
        <is>
          <t>167</t>
        </is>
      </c>
      <c r="Y73" s="34" t="inlineStr">
        <is>
          <t>adk(10) fumC(11) gyrB(4) icd(8) mdh(8) purA(13) recA(2)</t>
        </is>
      </c>
      <c r="Z73" s="34" t="inlineStr">
        <is>
          <t>Col(BS512)_1, IncFIA_1</t>
        </is>
      </c>
    </row>
    <row r="74" ht="15" customHeight="1" s="20">
      <c r="A74" s="34" t="inlineStr">
        <is>
          <t>SAMEA115084356</t>
        </is>
      </c>
      <c r="B74" s="34" t="inlineStr">
        <is>
          <t>ERR12409409</t>
        </is>
      </c>
      <c r="C74" s="34" t="inlineStr">
        <is>
          <t>A (reads, Shovill)</t>
        </is>
      </c>
      <c r="D74" s="35" t="n">
        <v>483428592</v>
      </c>
      <c r="E74" s="36">
        <f>IF(D74="","",D74/5100000)</f>
        <v/>
      </c>
      <c r="F74" s="35" t="n">
        <v>203</v>
      </c>
      <c r="G74" s="35" t="n">
        <v>4803046</v>
      </c>
      <c r="H74" s="35" t="n">
        <v>83711</v>
      </c>
      <c r="I74" s="34" t="n">
        <v>50.76</v>
      </c>
      <c r="J74" s="34" t="inlineStr">
        <is>
          <t>Pass</t>
        </is>
      </c>
      <c r="K74" s="34" t="inlineStr">
        <is>
          <t>mcr-10.1</t>
        </is>
      </c>
      <c r="L74" s="34" t="inlineStr">
        <is>
          <t>mcr-10.1</t>
        </is>
      </c>
      <c r="M74" s="34" t="inlineStr">
        <is>
          <t>ALLELEX</t>
        </is>
      </c>
      <c r="N74" s="34" t="inlineStr">
        <is>
          <t>100.00</t>
        </is>
      </c>
      <c r="O74" s="34" t="inlineStr">
        <is>
          <t>100.00</t>
        </is>
      </c>
      <c r="P74" s="34" t="inlineStr">
        <is>
          <t>contig00104</t>
        </is>
      </c>
      <c r="Q74" s="34" t="inlineStr">
        <is>
          <t>mcr-10.1</t>
        </is>
      </c>
      <c r="R74" s="34" t="inlineStr">
        <is>
          <t>mcr-10_1</t>
        </is>
      </c>
      <c r="S74" s="34" t="inlineStr">
        <is>
          <t>none</t>
        </is>
      </c>
      <c r="T74" s="34" t="inlineStr">
        <is>
          <t>plasmid</t>
        </is>
      </c>
      <c r="U74" s="34" t="inlineStr">
        <is>
          <t>rep_cluster_1418</t>
        </is>
      </c>
      <c r="V74" s="34" t="inlineStr">
        <is>
          <t>-</t>
        </is>
      </c>
      <c r="W74" s="35" t="n">
        <v>27618</v>
      </c>
      <c r="X74" s="34" t="inlineStr">
        <is>
          <t>206</t>
        </is>
      </c>
      <c r="Y74" s="34" t="inlineStr">
        <is>
          <t>adk(6) fumC(7) gyrB(5) icd(1) mdh(8) purA(18) recA(2)</t>
        </is>
      </c>
      <c r="Z74" s="34" t="inlineStr">
        <is>
          <t>IncFIA(HI1)_1_HI1, IncFIB(K)_1_Kpn3, repB(R1701)_1</t>
        </is>
      </c>
    </row>
    <row r="75" ht="15" customHeight="1" s="20">
      <c r="A75" s="34" t="inlineStr">
        <is>
          <t>SAMN38019464</t>
        </is>
      </c>
      <c r="B75" s="34" t="inlineStr">
        <is>
          <t>GCA_033342895.1</t>
        </is>
      </c>
      <c r="C75" s="34" t="inlineStr">
        <is>
          <t>B (GenBank assembly)</t>
        </is>
      </c>
      <c r="D75" s="35" t="n"/>
      <c r="E75" s="36">
        <f>IF(D75="","",D75/5100000)</f>
        <v/>
      </c>
      <c r="F75" s="35" t="n">
        <v>2</v>
      </c>
      <c r="G75" s="35" t="n">
        <v>5618654</v>
      </c>
      <c r="H75" s="35" t="n">
        <v>5325486</v>
      </c>
      <c r="I75" s="34" t="n">
        <v>50.28</v>
      </c>
      <c r="J75" s="34" t="inlineStr">
        <is>
          <t>Pass</t>
        </is>
      </c>
      <c r="K75" s="34" t="inlineStr">
        <is>
          <t>mcr-1.1</t>
        </is>
      </c>
      <c r="L75" s="34" t="inlineStr">
        <is>
          <t>mcr-1.1</t>
        </is>
      </c>
      <c r="M75" s="34" t="inlineStr">
        <is>
          <t>ALLELEX</t>
        </is>
      </c>
      <c r="N75" s="34" t="inlineStr">
        <is>
          <t>100.00</t>
        </is>
      </c>
      <c r="O75" s="34" t="inlineStr">
        <is>
          <t>100.00</t>
        </is>
      </c>
      <c r="P75" s="34" t="inlineStr">
        <is>
          <t>JAWPEQ010000002.1</t>
        </is>
      </c>
      <c r="Q75" s="34" t="inlineStr">
        <is>
          <t>mcr-1.1</t>
        </is>
      </c>
      <c r="R75" s="34" t="inlineStr">
        <is>
          <t>mcr-1.1_1</t>
        </is>
      </c>
      <c r="S75" s="34" t="inlineStr">
        <is>
          <t>IncHI2_1 / IncQ1_1 / IncHI2A_1</t>
        </is>
      </c>
      <c r="T75" s="34" t="n"/>
      <c r="U75" s="34" t="n"/>
      <c r="V75" s="34" t="n"/>
      <c r="W75" s="35" t="n"/>
      <c r="X75" s="34" t="inlineStr">
        <is>
          <t>1266</t>
        </is>
      </c>
      <c r="Y75" s="34" t="inlineStr">
        <is>
          <t>adk(168) fumC(184) gyrB(53) icd(140) mdh(24) purA(85) recA(42)</t>
        </is>
      </c>
      <c r="Z75" s="34" t="inlineStr">
        <is>
          <t>IncHI2A_1, IncHI2_1, IncQ1_1</t>
        </is>
      </c>
    </row>
    <row r="76" ht="15" customHeight="1" s="20">
      <c r="A76" s="34" t="inlineStr">
        <is>
          <t>SAMN35358213</t>
        </is>
      </c>
      <c r="B76" s="34" t="inlineStr">
        <is>
          <t>SRR24834186</t>
        </is>
      </c>
      <c r="C76" s="34" t="inlineStr">
        <is>
          <t>A (reads, Shovill)</t>
        </is>
      </c>
      <c r="D76" s="35" t="n">
        <v>2311793095</v>
      </c>
      <c r="E76" s="36">
        <f>IF(D76="","",D76/5100000)</f>
        <v/>
      </c>
      <c r="F76" s="35" t="n">
        <v>215</v>
      </c>
      <c r="G76" s="35" t="n">
        <v>5672656</v>
      </c>
      <c r="H76" s="35" t="n">
        <v>125097</v>
      </c>
      <c r="I76" s="34" t="n">
        <v>50.18</v>
      </c>
      <c r="J76" s="34" t="inlineStr">
        <is>
          <t>Pass</t>
        </is>
      </c>
      <c r="K76" s="34" t="inlineStr">
        <is>
          <t>mcr-1</t>
        </is>
      </c>
      <c r="L76" s="34" t="inlineStr">
        <is>
          <t>mcr-1</t>
        </is>
      </c>
      <c r="M76" s="34" t="inlineStr">
        <is>
          <t>PARTIALX</t>
        </is>
      </c>
      <c r="N76" s="34" t="inlineStr">
        <is>
          <t>61.48</t>
        </is>
      </c>
      <c r="O76" s="34" t="inlineStr">
        <is>
          <t>100.00</t>
        </is>
      </c>
      <c r="P76" s="34" t="inlineStr">
        <is>
          <t>contig00072</t>
        </is>
      </c>
      <c r="Q76" s="34" t="inlineStr">
        <is>
          <t>none</t>
        </is>
      </c>
      <c r="R76" s="34" t="inlineStr">
        <is>
          <t>none</t>
        </is>
      </c>
      <c r="S76" s="34" t="inlineStr">
        <is>
          <t>none</t>
        </is>
      </c>
      <c r="T76" s="34" t="inlineStr">
        <is>
          <t>plasmid</t>
        </is>
      </c>
      <c r="U76" s="34" t="inlineStr">
        <is>
          <t>rep_cluster_1088,IncHI2A,IncI-gamma/K1,IncFIA,IncFIC</t>
        </is>
      </c>
      <c r="V76" s="34" t="inlineStr">
        <is>
          <t>MOBP,MOBF,MOBH</t>
        </is>
      </c>
      <c r="W76" s="35" t="n">
        <v>393699</v>
      </c>
      <c r="X76" s="34" t="inlineStr">
        <is>
          <t>38</t>
        </is>
      </c>
      <c r="Y76" s="34" t="inlineStr">
        <is>
          <t>adk(4) fumC(26) gyrB(2) icd(25) mdh(5) purA(5) recA(19)</t>
        </is>
      </c>
      <c r="Z76" s="34" t="inlineStr">
        <is>
          <t>IncFII(29)_1_pUTI89, IncHI2A_1, IncHI2_1, IncI1_1_Alpha, IncX1_1</t>
        </is>
      </c>
    </row>
    <row r="77" ht="15" customHeight="1" s="20">
      <c r="A77" s="34" t="inlineStr">
        <is>
          <t>SAMN33246729</t>
        </is>
      </c>
      <c r="B77" s="34" t="inlineStr">
        <is>
          <t>GCA_028882105.2</t>
        </is>
      </c>
      <c r="C77" s="34" t="inlineStr">
        <is>
          <t>B (GenBank assembly)</t>
        </is>
      </c>
      <c r="D77" s="35" t="n"/>
      <c r="E77" s="36">
        <f>IF(D77="","",D77/5100000)</f>
        <v/>
      </c>
      <c r="F77" s="35" t="n">
        <v>5</v>
      </c>
      <c r="G77" s="35" t="n">
        <v>5618493</v>
      </c>
      <c r="H77" s="35" t="n">
        <v>5252634</v>
      </c>
      <c r="I77" s="34" t="n">
        <v>50.28</v>
      </c>
      <c r="J77" s="34" t="inlineStr">
        <is>
          <t>Pass</t>
        </is>
      </c>
      <c r="K77" s="34" t="inlineStr">
        <is>
          <t>mcr-1.1</t>
        </is>
      </c>
      <c r="L77" s="34" t="inlineStr">
        <is>
          <t>mcr-1.1</t>
        </is>
      </c>
      <c r="M77" s="34" t="inlineStr">
        <is>
          <t>ALLELEX</t>
        </is>
      </c>
      <c r="N77" s="34" t="inlineStr">
        <is>
          <t>100.00</t>
        </is>
      </c>
      <c r="O77" s="34" t="inlineStr">
        <is>
          <t>100.00</t>
        </is>
      </c>
      <c r="P77" s="34" t="inlineStr">
        <is>
          <t>JARBTG020000002.1</t>
        </is>
      </c>
      <c r="Q77" s="34" t="inlineStr">
        <is>
          <t>mcr-1.1</t>
        </is>
      </c>
      <c r="R77" s="34" t="inlineStr">
        <is>
          <t>mcr-1.1_1</t>
        </is>
      </c>
      <c r="S77" s="34" t="inlineStr">
        <is>
          <t>IncHI2_1 / IncQ1_1 / IncHI2A_1</t>
        </is>
      </c>
      <c r="T77" s="34" t="n"/>
      <c r="U77" s="34" t="n"/>
      <c r="V77" s="34" t="n"/>
      <c r="W77" s="35" t="n"/>
      <c r="X77" s="34" t="inlineStr">
        <is>
          <t>1266</t>
        </is>
      </c>
      <c r="Y77" s="34" t="inlineStr">
        <is>
          <t>adk(168) fumC(184) gyrB(53) icd(140) mdh(24) purA(85) recA(42)</t>
        </is>
      </c>
      <c r="Z77" s="34" t="inlineStr">
        <is>
          <t>IncHI2A_1, IncHI2_1, IncQ1_1</t>
        </is>
      </c>
    </row>
    <row r="78" ht="15" customHeight="1" s="20">
      <c r="A78" s="34" t="inlineStr">
        <is>
          <t>SAMN34441004</t>
        </is>
      </c>
      <c r="B78" s="34" t="inlineStr">
        <is>
          <t>GCA_029953225.1</t>
        </is>
      </c>
      <c r="C78" s="34" t="inlineStr">
        <is>
          <t>B (GenBank assembly)</t>
        </is>
      </c>
      <c r="D78" s="35" t="n"/>
      <c r="E78" s="36">
        <f>IF(D78="","",D78/5100000)</f>
        <v/>
      </c>
      <c r="F78" s="35" t="n">
        <v>7</v>
      </c>
      <c r="G78" s="35" t="n">
        <v>4917635</v>
      </c>
      <c r="H78" s="35" t="n">
        <v>4753159</v>
      </c>
      <c r="I78" s="34" t="n">
        <v>50.45</v>
      </c>
      <c r="J78" s="34" t="inlineStr">
        <is>
          <t>Pass</t>
        </is>
      </c>
      <c r="K78" s="34" t="inlineStr">
        <is>
          <t>mcr-1.1</t>
        </is>
      </c>
      <c r="L78" s="34" t="inlineStr">
        <is>
          <t>mcr-1.1</t>
        </is>
      </c>
      <c r="M78" s="34" t="inlineStr">
        <is>
          <t>ALLELEX</t>
        </is>
      </c>
      <c r="N78" s="34" t="inlineStr">
        <is>
          <t>100.00</t>
        </is>
      </c>
      <c r="O78" s="34" t="inlineStr">
        <is>
          <t>100.00</t>
        </is>
      </c>
      <c r="P78" s="34" t="inlineStr">
        <is>
          <t>JASATV010000003.1</t>
        </is>
      </c>
      <c r="Q78" s="34" t="inlineStr">
        <is>
          <t>mcr-1.1</t>
        </is>
      </c>
      <c r="R78" s="34" t="inlineStr">
        <is>
          <t>mcr-1.1_1</t>
        </is>
      </c>
      <c r="S78" s="34" t="inlineStr">
        <is>
          <t>IncX4_1</t>
        </is>
      </c>
      <c r="T78" s="34" t="n"/>
      <c r="U78" s="34" t="n"/>
      <c r="V78" s="34" t="n"/>
      <c r="W78" s="35" t="n"/>
      <c r="X78" s="34" t="inlineStr">
        <is>
          <t>484</t>
        </is>
      </c>
      <c r="Y78" s="34" t="inlineStr">
        <is>
          <t>adk(6) fumC(11) gyrB(4) icd(10) mdh(7) purA(84) recA(6)</t>
        </is>
      </c>
      <c r="Z78" s="34" t="inlineStr">
        <is>
          <t>IncFIC(FII)_1, IncX4_1</t>
        </is>
      </c>
    </row>
    <row r="79" ht="15" customHeight="1" s="20">
      <c r="A79" s="34" t="inlineStr">
        <is>
          <t>SAMN13191328</t>
        </is>
      </c>
      <c r="B79" s="34" t="inlineStr">
        <is>
          <t>SRR10392137</t>
        </is>
      </c>
      <c r="C79" s="34" t="inlineStr">
        <is>
          <t>A (reads, Shovill)</t>
        </is>
      </c>
      <c r="D79" s="35" t="n">
        <v>313635025</v>
      </c>
      <c r="E79" s="36">
        <f>IF(D79="","",D79/5100000)</f>
        <v/>
      </c>
      <c r="F79" s="35" t="n">
        <v>231</v>
      </c>
      <c r="G79" s="35" t="n">
        <v>5085732</v>
      </c>
      <c r="H79" s="35" t="n">
        <v>88398</v>
      </c>
      <c r="I79" s="34" t="n">
        <v>50.46</v>
      </c>
      <c r="J79" s="34" t="inlineStr">
        <is>
          <t>Pass</t>
        </is>
      </c>
      <c r="K79" s="34" t="inlineStr">
        <is>
          <t>mcr-1.1</t>
        </is>
      </c>
      <c r="L79" s="34" t="inlineStr">
        <is>
          <t>mcr-1.1</t>
        </is>
      </c>
      <c r="M79" s="34" t="inlineStr">
        <is>
          <t>ALLELEX</t>
        </is>
      </c>
      <c r="N79" s="34" t="inlineStr">
        <is>
          <t>100.00</t>
        </is>
      </c>
      <c r="O79" s="34" t="inlineStr">
        <is>
          <t>100.00</t>
        </is>
      </c>
      <c r="P79" s="34" t="inlineStr">
        <is>
          <t>contig00060</t>
        </is>
      </c>
      <c r="Q79" s="34" t="inlineStr">
        <is>
          <t>mcr-1.1</t>
        </is>
      </c>
      <c r="R79" s="34" t="inlineStr">
        <is>
          <t>mcr-1.1_1</t>
        </is>
      </c>
      <c r="S79" s="34" t="inlineStr">
        <is>
          <t>none</t>
        </is>
      </c>
      <c r="T79" s="34" t="inlineStr">
        <is>
          <t>plasmid</t>
        </is>
      </c>
      <c r="U79" s="34" t="inlineStr">
        <is>
          <t>IncI2</t>
        </is>
      </c>
      <c r="V79" s="34" t="inlineStr">
        <is>
          <t>MOBP</t>
        </is>
      </c>
      <c r="W79" s="35" t="n">
        <v>70667</v>
      </c>
      <c r="X79" s="34" t="inlineStr">
        <is>
          <t>101</t>
        </is>
      </c>
      <c r="Y79" s="34" t="inlineStr">
        <is>
          <t>adk(43) fumC(41) gyrB(15) icd(18) mdh(11) purA(7) recA(6)</t>
        </is>
      </c>
      <c r="Z79" s="34" t="inlineStr">
        <is>
          <t>IncFIA_1, IncFIB(AP001918)_1, IncFIC(FII)_1, IncI2_1</t>
        </is>
      </c>
    </row>
    <row r="80" ht="15" customHeight="1" s="20">
      <c r="A80" s="34" t="inlineStr">
        <is>
          <t>SAMD00328572</t>
        </is>
      </c>
      <c r="B80" s="34" t="inlineStr">
        <is>
          <t>DRR300284</t>
        </is>
      </c>
      <c r="C80" s="34" t="inlineStr">
        <is>
          <t>A (reads, Shovill)</t>
        </is>
      </c>
      <c r="D80" s="35" t="n">
        <v>516333402</v>
      </c>
      <c r="E80" s="36">
        <f>IF(D80="","",D80/5100000)</f>
        <v/>
      </c>
      <c r="F80" s="35" t="n">
        <v>240</v>
      </c>
      <c r="G80" s="35" t="n">
        <v>5144573</v>
      </c>
      <c r="H80" s="35" t="n">
        <v>106448</v>
      </c>
      <c r="I80" s="34" t="n">
        <v>50.51</v>
      </c>
      <c r="J80" s="34" t="inlineStr">
        <is>
          <t>Pass</t>
        </is>
      </c>
      <c r="K80" s="34" t="inlineStr">
        <is>
          <t>mcr-1.1</t>
        </is>
      </c>
      <c r="L80" s="34" t="inlineStr">
        <is>
          <t>mcr-1.1</t>
        </is>
      </c>
      <c r="M80" s="34" t="inlineStr">
        <is>
          <t>ALLELEX</t>
        </is>
      </c>
      <c r="N80" s="34" t="inlineStr">
        <is>
          <t>100.00</t>
        </is>
      </c>
      <c r="O80" s="34" t="inlineStr">
        <is>
          <t>100.00</t>
        </is>
      </c>
      <c r="P80" s="34" t="inlineStr">
        <is>
          <t>contig00042</t>
        </is>
      </c>
      <c r="Q80" s="34" t="inlineStr">
        <is>
          <t>mcr-1.1</t>
        </is>
      </c>
      <c r="R80" s="34" t="inlineStr">
        <is>
          <t>mcr-1.1_1</t>
        </is>
      </c>
      <c r="S80" s="34" t="inlineStr">
        <is>
          <t>IncX4_1</t>
        </is>
      </c>
      <c r="T80" s="34" t="n"/>
      <c r="U80" s="34" t="n"/>
      <c r="V80" s="34" t="n"/>
      <c r="W80" s="35" t="n"/>
      <c r="X80" s="34" t="inlineStr">
        <is>
          <t>744</t>
        </is>
      </c>
      <c r="Y80" s="34" t="inlineStr">
        <is>
          <t>adk(10) fumC(11) gyrB(135) icd(8) mdh(8) purA(8) recA(2)</t>
        </is>
      </c>
      <c r="Z80" s="34" t="inlineStr">
        <is>
          <t>IncFIA_1, IncFIB(AP001918)_1, IncFIC(FII)_1, IncI1_1_Alpha, IncQ1_1, IncX4_1, IncY_1</t>
        </is>
      </c>
    </row>
    <row r="81" ht="15" customHeight="1" s="20">
      <c r="A81" s="34" t="inlineStr">
        <is>
          <t>SAMD00328569</t>
        </is>
      </c>
      <c r="B81" s="34" t="inlineStr">
        <is>
          <t>DRR300282</t>
        </is>
      </c>
      <c r="C81" s="34" t="inlineStr">
        <is>
          <t>A (reads, Shovill)</t>
        </is>
      </c>
      <c r="D81" s="35" t="n">
        <v>532807021</v>
      </c>
      <c r="E81" s="36">
        <f>IF(D81="","",D81/5100000)</f>
        <v/>
      </c>
      <c r="F81" s="35" t="n">
        <v>216</v>
      </c>
      <c r="G81" s="35" t="n">
        <v>5302190</v>
      </c>
      <c r="H81" s="35" t="n">
        <v>213376</v>
      </c>
      <c r="I81" s="34" t="n">
        <v>50.51</v>
      </c>
      <c r="J81" s="34" t="inlineStr">
        <is>
          <t>Pass</t>
        </is>
      </c>
      <c r="K81" s="34" t="inlineStr">
        <is>
          <t>mcr-1.1</t>
        </is>
      </c>
      <c r="L81" s="34" t="inlineStr">
        <is>
          <t>mcr-1.1</t>
        </is>
      </c>
      <c r="M81" s="34" t="inlineStr">
        <is>
          <t>ALLELEX</t>
        </is>
      </c>
      <c r="N81" s="34" t="inlineStr">
        <is>
          <t>100.00</t>
        </is>
      </c>
      <c r="O81" s="34" t="inlineStr">
        <is>
          <t>100.00</t>
        </is>
      </c>
      <c r="P81" s="34" t="inlineStr">
        <is>
          <t>contig00066</t>
        </is>
      </c>
      <c r="Q81" s="34" t="inlineStr">
        <is>
          <t>mcr-1.1</t>
        </is>
      </c>
      <c r="R81" s="34" t="inlineStr">
        <is>
          <t>mcr-1.1_1</t>
        </is>
      </c>
      <c r="S81" s="34" t="inlineStr">
        <is>
          <t>none</t>
        </is>
      </c>
      <c r="T81" s="34" t="inlineStr">
        <is>
          <t>plasmid</t>
        </is>
      </c>
      <c r="U81" s="34" t="inlineStr">
        <is>
          <t>-</t>
        </is>
      </c>
      <c r="V81" s="34" t="inlineStr">
        <is>
          <t>-</t>
        </is>
      </c>
      <c r="W81" s="35" t="n">
        <v>54854</v>
      </c>
      <c r="X81" s="34" t="inlineStr">
        <is>
          <t>1011</t>
        </is>
      </c>
      <c r="Y81" s="34" t="inlineStr">
        <is>
          <t>adk(6) fumC(4) gyrB(159) icd(44) mdh(112) purA(1) recA(17)</t>
        </is>
      </c>
      <c r="Z81" s="34" t="inlineStr">
        <is>
          <t>IncFIB(AP001918)_1, IncI1_1_Alpha, p0111_1</t>
        </is>
      </c>
    </row>
    <row r="82" ht="15" customHeight="1" s="20">
      <c r="A82" s="34" t="inlineStr">
        <is>
          <t>SAMEA112238986</t>
        </is>
      </c>
      <c r="B82" s="34" t="inlineStr">
        <is>
          <t>ERR10670898</t>
        </is>
      </c>
      <c r="C82" s="34" t="inlineStr">
        <is>
          <t>A (reads, Shovill)</t>
        </is>
      </c>
      <c r="D82" s="35" t="n">
        <v>253170078</v>
      </c>
      <c r="E82" s="36">
        <f>IF(D82="","",D82/5100000)</f>
        <v/>
      </c>
      <c r="F82" s="35" t="n">
        <v>229</v>
      </c>
      <c r="G82" s="35" t="n">
        <v>4796762</v>
      </c>
      <c r="H82" s="35" t="n">
        <v>81994</v>
      </c>
      <c r="I82" s="34" t="n">
        <v>50.55</v>
      </c>
      <c r="J82" s="34" t="inlineStr">
        <is>
          <t>Pass</t>
        </is>
      </c>
      <c r="K82" s="34" t="inlineStr">
        <is>
          <t>mcr-1.1</t>
        </is>
      </c>
      <c r="L82" s="34" t="inlineStr">
        <is>
          <t>mcr-1.1</t>
        </is>
      </c>
      <c r="M82" s="34" t="inlineStr">
        <is>
          <t>ALLELEX</t>
        </is>
      </c>
      <c r="N82" s="34" t="inlineStr">
        <is>
          <t>100.00</t>
        </is>
      </c>
      <c r="O82" s="34" t="inlineStr">
        <is>
          <t>100.00</t>
        </is>
      </c>
      <c r="P82" s="34" t="inlineStr">
        <is>
          <t>contig00051</t>
        </is>
      </c>
      <c r="Q82" s="34" t="inlineStr">
        <is>
          <t>mcr-1.1</t>
        </is>
      </c>
      <c r="R82" s="34" t="inlineStr">
        <is>
          <t>mcr-1.1_1</t>
        </is>
      </c>
      <c r="S82" s="34" t="inlineStr">
        <is>
          <t>IncX4_1</t>
        </is>
      </c>
      <c r="T82" s="34" t="n"/>
      <c r="U82" s="34" t="n"/>
      <c r="V82" s="34" t="n"/>
      <c r="W82" s="35" t="n"/>
      <c r="X82" s="34" t="inlineStr">
        <is>
          <t>484</t>
        </is>
      </c>
      <c r="Y82" s="34" t="inlineStr">
        <is>
          <t>adk(6) fumC(11) gyrB(4) icd(10) mdh(7) purA(84) recA(6)</t>
        </is>
      </c>
      <c r="Z82" s="34" t="inlineStr">
        <is>
          <t>IncFIC(FII)_1, IncX4_1</t>
        </is>
      </c>
    </row>
    <row r="83" ht="15" customHeight="1" s="20">
      <c r="A83" s="34" t="inlineStr">
        <is>
          <t>SAMEA112238980</t>
        </is>
      </c>
      <c r="B83" s="34" t="inlineStr">
        <is>
          <t>ERR10670886</t>
        </is>
      </c>
      <c r="C83" s="34" t="inlineStr">
        <is>
          <t>A (reads, Shovill)</t>
        </is>
      </c>
      <c r="D83" s="35" t="n">
        <v>165868019</v>
      </c>
      <c r="E83" s="36">
        <f>IF(D83="","",D83/5100000)</f>
        <v/>
      </c>
      <c r="F83" s="35" t="n">
        <v>311</v>
      </c>
      <c r="G83" s="35" t="n">
        <v>5509888</v>
      </c>
      <c r="H83" s="35" t="n">
        <v>62168</v>
      </c>
      <c r="I83" s="34" t="n">
        <v>50.27</v>
      </c>
      <c r="J83" s="34" t="inlineStr">
        <is>
          <t>Pass</t>
        </is>
      </c>
      <c r="K83" s="34" t="inlineStr">
        <is>
          <t>mcr-1.1</t>
        </is>
      </c>
      <c r="L83" s="34" t="inlineStr">
        <is>
          <t>mcr-1.1</t>
        </is>
      </c>
      <c r="M83" s="34" t="inlineStr">
        <is>
          <t>ALLELEX</t>
        </is>
      </c>
      <c r="N83" s="34" t="inlineStr">
        <is>
          <t>100.00</t>
        </is>
      </c>
      <c r="O83" s="34" t="inlineStr">
        <is>
          <t>100.00</t>
        </is>
      </c>
      <c r="P83" s="34" t="inlineStr">
        <is>
          <t>contig00046</t>
        </is>
      </c>
      <c r="Q83" s="34" t="inlineStr">
        <is>
          <t>mcr-1.1</t>
        </is>
      </c>
      <c r="R83" s="34" t="inlineStr">
        <is>
          <t>mcr-1.1_1</t>
        </is>
      </c>
      <c r="S83" s="34" t="inlineStr">
        <is>
          <t>none</t>
        </is>
      </c>
      <c r="T83" s="34" t="inlineStr">
        <is>
          <t>plasmid</t>
        </is>
      </c>
      <c r="U83" s="34" t="inlineStr">
        <is>
          <t>IncHI2A,rep_cluster_1088,IncQ1</t>
        </is>
      </c>
      <c r="V83" s="34" t="inlineStr">
        <is>
          <t>MOBH</t>
        </is>
      </c>
      <c r="W83" s="35" t="n">
        <v>309960</v>
      </c>
      <c r="X83" s="34" t="inlineStr">
        <is>
          <t>-</t>
        </is>
      </c>
      <c r="Y83" s="34" t="inlineStr">
        <is>
          <t>adk(168) fumC(~184) gyrB(53) icd(140) mdh(24) purA(85) recA(42)</t>
        </is>
      </c>
      <c r="Z83" s="34" t="inlineStr">
        <is>
          <t>IncHI2A_1, IncHI2_1, IncQ1_1</t>
        </is>
      </c>
    </row>
    <row r="84" ht="15" customHeight="1" s="20">
      <c r="A84" s="34" t="inlineStr">
        <is>
          <t>SAMN16293355</t>
        </is>
      </c>
      <c r="B84" s="34" t="inlineStr">
        <is>
          <t>GCA_020281985.1</t>
        </is>
      </c>
      <c r="C84" s="34" t="inlineStr">
        <is>
          <t>B (GenBank assembly)</t>
        </is>
      </c>
      <c r="D84" s="35" t="n"/>
      <c r="E84" s="36">
        <f>IF(D84="","",D84/5100000)</f>
        <v/>
      </c>
      <c r="F84" s="35" t="n">
        <v>244</v>
      </c>
      <c r="G84" s="35" t="n">
        <v>5732357</v>
      </c>
      <c r="H84" s="35" t="n">
        <v>168960</v>
      </c>
      <c r="I84" s="34" t="n">
        <v>50.53</v>
      </c>
      <c r="J84" s="34" t="inlineStr">
        <is>
          <t>Pass</t>
        </is>
      </c>
      <c r="K84" s="34" t="inlineStr">
        <is>
          <t>mcr-1.1</t>
        </is>
      </c>
      <c r="L84" s="34" t="inlineStr">
        <is>
          <t>mcr-1.1</t>
        </is>
      </c>
      <c r="M84" s="34" t="inlineStr">
        <is>
          <t>ALLELEX</t>
        </is>
      </c>
      <c r="N84" s="34" t="inlineStr">
        <is>
          <t>100.00</t>
        </is>
      </c>
      <c r="O84" s="34" t="inlineStr">
        <is>
          <t>100.00</t>
        </is>
      </c>
      <c r="P84" s="34" t="inlineStr">
        <is>
          <t>JACZEQ010000043.1</t>
        </is>
      </c>
      <c r="Q84" s="34" t="inlineStr">
        <is>
          <t>mcr-1.1</t>
        </is>
      </c>
      <c r="R84" s="34" t="inlineStr">
        <is>
          <t>mcr-1.1_1</t>
        </is>
      </c>
      <c r="S84" s="34" t="inlineStr">
        <is>
          <t>none</t>
        </is>
      </c>
      <c r="T84" s="34" t="inlineStr">
        <is>
          <t>plasmid</t>
        </is>
      </c>
      <c r="U84" s="34" t="inlineStr">
        <is>
          <t>IncHI2A,rep_cluster_1088,IncI2,IncQ1</t>
        </is>
      </c>
      <c r="V84" s="34" t="inlineStr">
        <is>
          <t>MOBP,MOBH</t>
        </is>
      </c>
      <c r="W84" s="35" t="n">
        <v>331019</v>
      </c>
      <c r="X84" s="34" t="inlineStr">
        <is>
          <t>224</t>
        </is>
      </c>
      <c r="Y84" s="34" t="inlineStr">
        <is>
          <t>adk(6) fumC(4) gyrB(33) icd(16) mdh(11) purA(8) recA(6)</t>
        </is>
      </c>
      <c r="Z84" s="34" t="inlineStr">
        <is>
          <t>IncB/O/K/Z_2, IncFIA_1, IncFIB(AP001918)_1, IncFIC(FII)_1, IncFII(29)_1_pUTI89, IncHI2A_1, IncHI2_1, IncI2_1, IncQ1_1</t>
        </is>
      </c>
    </row>
    <row r="85" ht="15" customHeight="1" s="20">
      <c r="A85" s="34" t="inlineStr">
        <is>
          <t>SAMEA8550478</t>
        </is>
      </c>
      <c r="B85" s="34" t="inlineStr">
        <is>
          <t>ERR5696778</t>
        </is>
      </c>
      <c r="C85" s="34" t="inlineStr">
        <is>
          <t>A (reads, Shovill)</t>
        </is>
      </c>
      <c r="D85" s="35" t="n">
        <v>641449928</v>
      </c>
      <c r="E85" s="36">
        <f>IF(D85="","",D85/5100000)</f>
        <v/>
      </c>
      <c r="F85" s="35" t="n">
        <v>169</v>
      </c>
      <c r="G85" s="35" t="n">
        <v>5134869</v>
      </c>
      <c r="H85" s="35" t="n">
        <v>151352</v>
      </c>
      <c r="I85" s="34" t="n">
        <v>50.6</v>
      </c>
      <c r="J85" s="34" t="inlineStr">
        <is>
          <t>Pass</t>
        </is>
      </c>
      <c r="K85" s="34" t="inlineStr">
        <is>
          <t>mcr-9.1</t>
        </is>
      </c>
      <c r="L85" s="34" t="inlineStr">
        <is>
          <t>mcr-9.1</t>
        </is>
      </c>
      <c r="M85" s="34" t="inlineStr">
        <is>
          <t>ALLELEX</t>
        </is>
      </c>
      <c r="N85" s="34" t="inlineStr">
        <is>
          <t>100.00</t>
        </is>
      </c>
      <c r="O85" s="34" t="inlineStr">
        <is>
          <t>100.00</t>
        </is>
      </c>
      <c r="P85" s="34" t="inlineStr">
        <is>
          <t>contig00073</t>
        </is>
      </c>
      <c r="Q85" s="34" t="inlineStr">
        <is>
          <t>none</t>
        </is>
      </c>
      <c r="R85" s="34" t="inlineStr">
        <is>
          <t>mcr-9.1_1</t>
        </is>
      </c>
      <c r="S85" s="34" t="inlineStr">
        <is>
          <t>none</t>
        </is>
      </c>
      <c r="T85" s="34" t="inlineStr">
        <is>
          <t>plasmid</t>
        </is>
      </c>
      <c r="U85" s="34" t="inlineStr">
        <is>
          <t>rep_cluster_1088,IncHI2A</t>
        </is>
      </c>
      <c r="V85" s="34" t="inlineStr">
        <is>
          <t>MOBH</t>
        </is>
      </c>
      <c r="W85" s="35" t="n">
        <v>295128</v>
      </c>
      <c r="X85" s="34" t="inlineStr">
        <is>
          <t>181</t>
        </is>
      </c>
      <c r="Y85" s="34" t="inlineStr">
        <is>
          <t>adk(8) fumC(11) gyrB(4) icd(8) mdh(7) purA(8) recA(6)</t>
        </is>
      </c>
      <c r="Z85" s="34" t="inlineStr">
        <is>
          <t>Col(MG828)_1, IncHI2A_1, IncHI2_1, IncY_1</t>
        </is>
      </c>
    </row>
    <row r="86" ht="15" customHeight="1" s="20">
      <c r="A86" s="34" t="inlineStr">
        <is>
          <t>SAMEA8550450</t>
        </is>
      </c>
      <c r="B86" s="34" t="inlineStr">
        <is>
          <t>ERR5696750</t>
        </is>
      </c>
      <c r="C86" s="34" t="inlineStr">
        <is>
          <t>A (reads, Shovill)</t>
        </is>
      </c>
      <c r="D86" s="35" t="n">
        <v>407621316</v>
      </c>
      <c r="E86" s="36">
        <f>IF(D86="","",D86/5100000)</f>
        <v/>
      </c>
      <c r="F86" s="35" t="n">
        <v>306</v>
      </c>
      <c r="G86" s="35" t="n">
        <v>5340461</v>
      </c>
      <c r="H86" s="35" t="n">
        <v>101766</v>
      </c>
      <c r="I86" s="34" t="n">
        <v>50.69</v>
      </c>
      <c r="J86" s="34" t="inlineStr">
        <is>
          <t>Pass</t>
        </is>
      </c>
      <c r="K86" s="34" t="inlineStr">
        <is>
          <t>mcr-9.1</t>
        </is>
      </c>
      <c r="L86" s="34" t="inlineStr">
        <is>
          <t>mcr-9.1</t>
        </is>
      </c>
      <c r="M86" s="34" t="inlineStr">
        <is>
          <t>ALLELEX</t>
        </is>
      </c>
      <c r="N86" s="34" t="inlineStr">
        <is>
          <t>100.00</t>
        </is>
      </c>
      <c r="O86" s="34" t="inlineStr">
        <is>
          <t>100.00</t>
        </is>
      </c>
      <c r="P86" s="34" t="inlineStr">
        <is>
          <t>contig00112</t>
        </is>
      </c>
      <c r="Q86" s="34" t="inlineStr">
        <is>
          <t>none</t>
        </is>
      </c>
      <c r="R86" s="34" t="inlineStr">
        <is>
          <t>mcr-9.1_1</t>
        </is>
      </c>
      <c r="S86" s="34" t="inlineStr">
        <is>
          <t>none</t>
        </is>
      </c>
      <c r="T86" s="34" t="inlineStr">
        <is>
          <t>plasmid</t>
        </is>
      </c>
      <c r="U86" s="34" t="inlineStr">
        <is>
          <t>rep_cluster_1088,IncHI2A</t>
        </is>
      </c>
      <c r="V86" s="34" t="inlineStr">
        <is>
          <t>MOBH</t>
        </is>
      </c>
      <c r="W86" s="35" t="n">
        <v>263853</v>
      </c>
      <c r="X86" s="34" t="inlineStr">
        <is>
          <t>540</t>
        </is>
      </c>
      <c r="Y86" s="34" t="inlineStr">
        <is>
          <t>adk(6) fumC(7) gyrB(57) icd(1) mdh(8) purA(8) recA(2)</t>
        </is>
      </c>
      <c r="Z86" s="34" t="inlineStr">
        <is>
          <t>Col(pHAD28)_1, IncFIB(K)_1_Kpn3, IncHI2A_1, IncHI2_1, p0111_1</t>
        </is>
      </c>
    </row>
    <row r="87" ht="15" customHeight="1" s="20">
      <c r="A87" s="34" t="inlineStr">
        <is>
          <t>SAMN17183229</t>
        </is>
      </c>
      <c r="B87" s="34" t="inlineStr">
        <is>
          <t>SRR13376017</t>
        </is>
      </c>
      <c r="C87" s="34" t="inlineStr">
        <is>
          <t>A (reads, Shovill)</t>
        </is>
      </c>
      <c r="D87" s="35" t="n">
        <v>990675194</v>
      </c>
      <c r="E87" s="36">
        <f>IF(D87="","",D87/5100000)</f>
        <v/>
      </c>
      <c r="F87" s="35" t="n">
        <v>247</v>
      </c>
      <c r="G87" s="35" t="n">
        <v>5549111</v>
      </c>
      <c r="H87" s="35" t="n">
        <v>129203</v>
      </c>
      <c r="I87" s="34" t="n">
        <v>50.53</v>
      </c>
      <c r="J87" s="34" t="inlineStr">
        <is>
          <t>Pass</t>
        </is>
      </c>
      <c r="K87" s="34" t="inlineStr">
        <is>
          <t>mcr-1.1</t>
        </is>
      </c>
      <c r="L87" s="34" t="inlineStr">
        <is>
          <t>mcr-1.1</t>
        </is>
      </c>
      <c r="M87" s="34" t="inlineStr">
        <is>
          <t>ALLELEX</t>
        </is>
      </c>
      <c r="N87" s="34" t="inlineStr">
        <is>
          <t>100.00</t>
        </is>
      </c>
      <c r="O87" s="34" t="inlineStr">
        <is>
          <t>100.00</t>
        </is>
      </c>
      <c r="P87" s="34" t="inlineStr">
        <is>
          <t>contig00020</t>
        </is>
      </c>
      <c r="Q87" s="34" t="inlineStr">
        <is>
          <t>mcr-1.1</t>
        </is>
      </c>
      <c r="R87" s="34" t="inlineStr">
        <is>
          <t>mcr-1.1_1</t>
        </is>
      </c>
      <c r="S87" s="34" t="inlineStr">
        <is>
          <t>none</t>
        </is>
      </c>
      <c r="T87" s="34" t="inlineStr">
        <is>
          <t>plasmid</t>
        </is>
      </c>
      <c r="U87" s="34" t="inlineStr">
        <is>
          <t>rep_cluster_1088,IncHI2A,IncQ1</t>
        </is>
      </c>
      <c r="V87" s="34" t="inlineStr">
        <is>
          <t>MOBH</t>
        </is>
      </c>
      <c r="W87" s="35" t="n">
        <v>269522</v>
      </c>
      <c r="X87" s="34" t="inlineStr">
        <is>
          <t>117</t>
        </is>
      </c>
      <c r="Y87" s="34" t="inlineStr">
        <is>
          <t>adk(20) fumC(45) gyrB(41) icd(43) mdh(5) purA(32) recA(2)</t>
        </is>
      </c>
      <c r="Z87" s="34" t="inlineStr">
        <is>
          <t>IncB/O/K/Z_2, IncFIB(AP001918)_1, IncFIC(FII)_1, IncHI2A_1, IncHI2_1, IncQ1_1, IncX1_1</t>
        </is>
      </c>
    </row>
    <row r="88" ht="15" customHeight="1" s="20">
      <c r="A88" s="34" t="inlineStr">
        <is>
          <t>SAMEA7177508</t>
        </is>
      </c>
      <c r="B88" s="34" t="inlineStr">
        <is>
          <t>ERR4452414</t>
        </is>
      </c>
      <c r="C88" s="34" t="inlineStr">
        <is>
          <t>A (reads, Shovill)</t>
        </is>
      </c>
      <c r="D88" s="35" t="n">
        <v>405012288</v>
      </c>
      <c r="E88" s="36">
        <f>IF(D88="","",D88/5100000)</f>
        <v/>
      </c>
      <c r="F88" s="35" t="n">
        <v>227</v>
      </c>
      <c r="G88" s="35" t="n">
        <v>5060607</v>
      </c>
      <c r="H88" s="35" t="n">
        <v>102981</v>
      </c>
      <c r="I88" s="34" t="n">
        <v>50.4</v>
      </c>
      <c r="J88" s="34" t="inlineStr">
        <is>
          <t>Pass</t>
        </is>
      </c>
      <c r="K88" s="34" t="inlineStr">
        <is>
          <t>mcr-9.1</t>
        </is>
      </c>
      <c r="L88" s="34" t="inlineStr">
        <is>
          <t>mcr-9.1</t>
        </is>
      </c>
      <c r="M88" s="34" t="inlineStr">
        <is>
          <t>ALLELEX</t>
        </is>
      </c>
      <c r="N88" s="34" t="inlineStr">
        <is>
          <t>100.00</t>
        </is>
      </c>
      <c r="O88" s="34" t="inlineStr">
        <is>
          <t>100.00</t>
        </is>
      </c>
      <c r="P88" s="34" t="inlineStr">
        <is>
          <t>contig00098</t>
        </is>
      </c>
      <c r="Q88" s="34" t="inlineStr">
        <is>
          <t>none</t>
        </is>
      </c>
      <c r="R88" s="34" t="inlineStr">
        <is>
          <t>mcr-9.1_1</t>
        </is>
      </c>
      <c r="S88" s="34" t="inlineStr">
        <is>
          <t>none</t>
        </is>
      </c>
      <c r="T88" s="34" t="inlineStr">
        <is>
          <t>plasmid</t>
        </is>
      </c>
      <c r="U88" s="34" t="inlineStr">
        <is>
          <t>rep_cluster_1088,IncHI2A</t>
        </is>
      </c>
      <c r="V88" s="34" t="inlineStr">
        <is>
          <t>MOBH</t>
        </is>
      </c>
      <c r="W88" s="35" t="n">
        <v>308732</v>
      </c>
      <c r="X88" s="34" t="inlineStr">
        <is>
          <t>410</t>
        </is>
      </c>
      <c r="Y88" s="34" t="inlineStr">
        <is>
          <t>adk(6) fumC(4) gyrB(12) icd(1) mdh(20) purA(18) recA(7)</t>
        </is>
      </c>
      <c r="Z88" s="34" t="inlineStr">
        <is>
          <t>IncFIA_1, IncFIB(AP001918)_1, IncFII(pAMA1167-NDM-5)_1_pAMA1167-NDM-5, IncHI2A_1, IncHI2_1, IncQ1_1</t>
        </is>
      </c>
    </row>
    <row r="89" ht="15" customHeight="1" s="20">
      <c r="A89" s="34" t="inlineStr">
        <is>
          <t>SAMN16064910</t>
        </is>
      </c>
      <c r="B89" s="34" t="inlineStr">
        <is>
          <t>GCA_014900955.1</t>
        </is>
      </c>
      <c r="C89" s="34" t="inlineStr">
        <is>
          <t>B (GenBank assembly)</t>
        </is>
      </c>
      <c r="D89" s="35" t="n"/>
      <c r="E89" s="36">
        <f>IF(D89="","",D89/5100000)</f>
        <v/>
      </c>
      <c r="F89" s="35" t="n">
        <v>264</v>
      </c>
      <c r="G89" s="35" t="n">
        <v>5390284</v>
      </c>
      <c r="H89" s="35" t="n">
        <v>97986</v>
      </c>
      <c r="I89" s="34" t="n">
        <v>50.26</v>
      </c>
      <c r="J89" s="34" t="inlineStr">
        <is>
          <t>Pass</t>
        </is>
      </c>
      <c r="K89" s="34" t="inlineStr">
        <is>
          <t>mcr-1.1</t>
        </is>
      </c>
      <c r="L89" s="34" t="inlineStr">
        <is>
          <t>mcr-1.1</t>
        </is>
      </c>
      <c r="M89" s="34" t="inlineStr">
        <is>
          <t>ALLELEX</t>
        </is>
      </c>
      <c r="N89" s="34" t="inlineStr">
        <is>
          <t>100.00</t>
        </is>
      </c>
      <c r="O89" s="34" t="inlineStr">
        <is>
          <t>100.00</t>
        </is>
      </c>
      <c r="P89" s="34" t="inlineStr">
        <is>
          <t>JACVVT010000035.1</t>
        </is>
      </c>
      <c r="Q89" s="34" t="inlineStr">
        <is>
          <t>mcr-1.1</t>
        </is>
      </c>
      <c r="R89" s="34" t="inlineStr">
        <is>
          <t>mcr-1.1_1</t>
        </is>
      </c>
      <c r="S89" s="34" t="inlineStr">
        <is>
          <t>none</t>
        </is>
      </c>
      <c r="T89" s="34" t="inlineStr">
        <is>
          <t>plasmid</t>
        </is>
      </c>
      <c r="U89" s="34" t="inlineStr">
        <is>
          <t>rep_cluster_1088,IncHI2A</t>
        </is>
      </c>
      <c r="V89" s="34" t="inlineStr">
        <is>
          <t>-</t>
        </is>
      </c>
      <c r="W89" s="35" t="n">
        <v>134452</v>
      </c>
      <c r="X89" s="34" t="inlineStr">
        <is>
          <t>10</t>
        </is>
      </c>
      <c r="Y89" s="34" t="inlineStr">
        <is>
          <t>adk(10) fumC(11) gyrB(4) icd(8) mdh(8) purA(8) recA(2)</t>
        </is>
      </c>
      <c r="Z89" s="34" t="inlineStr">
        <is>
          <t>Col(MG828)_1, IncFIB(AP001918)_1, IncHI2A_1, IncHI2_1, IncI1_1_Alpha, IncN_1, IncX1_1, p0111_1</t>
        </is>
      </c>
    </row>
    <row r="90" ht="15" customHeight="1" s="20">
      <c r="A90" s="34" t="inlineStr">
        <is>
          <t>SAMN16064908</t>
        </is>
      </c>
      <c r="B90" s="34" t="inlineStr">
        <is>
          <t>GCA_014900945.1</t>
        </is>
      </c>
      <c r="C90" s="34" t="inlineStr">
        <is>
          <t>B (GenBank assembly)</t>
        </is>
      </c>
      <c r="D90" s="35" t="n"/>
      <c r="E90" s="36">
        <f>IF(D90="","",D90/5100000)</f>
        <v/>
      </c>
      <c r="F90" s="35" t="n">
        <v>132</v>
      </c>
      <c r="G90" s="35" t="n">
        <v>5160850</v>
      </c>
      <c r="H90" s="35" t="n">
        <v>158024</v>
      </c>
      <c r="I90" s="34" t="n">
        <v>50.42</v>
      </c>
      <c r="J90" s="34" t="inlineStr">
        <is>
          <t>Pass</t>
        </is>
      </c>
      <c r="K90" s="34" t="inlineStr">
        <is>
          <t>mcr-1.1</t>
        </is>
      </c>
      <c r="L90" s="34" t="inlineStr">
        <is>
          <t>mcr-1.1</t>
        </is>
      </c>
      <c r="M90" s="34" t="inlineStr">
        <is>
          <t>ALLELEX</t>
        </is>
      </c>
      <c r="N90" s="34" t="inlineStr">
        <is>
          <t>100.00</t>
        </is>
      </c>
      <c r="O90" s="34" t="inlineStr">
        <is>
          <t>100.00</t>
        </is>
      </c>
      <c r="P90" s="34" t="inlineStr">
        <is>
          <t>JACVVV010000005.1</t>
        </is>
      </c>
      <c r="Q90" s="34" t="inlineStr">
        <is>
          <t>mcr-1.1</t>
        </is>
      </c>
      <c r="R90" s="34" t="inlineStr">
        <is>
          <t>mcr-1.1_1</t>
        </is>
      </c>
      <c r="S90" s="34" t="inlineStr">
        <is>
          <t>IncHI2_1 / IncHI2A_1</t>
        </is>
      </c>
      <c r="T90" s="34" t="n"/>
      <c r="U90" s="34" t="n"/>
      <c r="V90" s="34" t="n"/>
      <c r="W90" s="35" t="n"/>
      <c r="X90" s="34" t="inlineStr">
        <is>
          <t>155</t>
        </is>
      </c>
      <c r="Y90" s="34" t="inlineStr">
        <is>
          <t>adk(6) fumC(4) gyrB(14) icd(16) mdh(24) purA(8) recA(14)</t>
        </is>
      </c>
      <c r="Z90" s="34" t="inlineStr">
        <is>
          <t>IncFIA_1, IncFIB(AP001918)_1, IncFIC(FII)_1, IncFII(pCoo)_1_pCoo, IncHI2A_1, IncHI2_1</t>
        </is>
      </c>
    </row>
    <row r="91" ht="15" customHeight="1" s="20">
      <c r="A91" s="34" t="inlineStr">
        <is>
          <t>SAMN16064909</t>
        </is>
      </c>
      <c r="B91" s="34" t="inlineStr">
        <is>
          <t>GCA_014900915.1</t>
        </is>
      </c>
      <c r="C91" s="34" t="inlineStr">
        <is>
          <t>B (GenBank assembly)</t>
        </is>
      </c>
      <c r="D91" s="35" t="n"/>
      <c r="E91" s="36">
        <f>IF(D91="","",D91/5100000)</f>
        <v/>
      </c>
      <c r="F91" s="35" t="n">
        <v>122</v>
      </c>
      <c r="G91" s="35" t="n">
        <v>5151053</v>
      </c>
      <c r="H91" s="35" t="n">
        <v>166562</v>
      </c>
      <c r="I91" s="34" t="n">
        <v>50.42</v>
      </c>
      <c r="J91" s="34" t="inlineStr">
        <is>
          <t>Pass</t>
        </is>
      </c>
      <c r="K91" s="34" t="inlineStr">
        <is>
          <t>mcr-1.1</t>
        </is>
      </c>
      <c r="L91" s="34" t="inlineStr">
        <is>
          <t>mcr-1.1</t>
        </is>
      </c>
      <c r="M91" s="34" t="inlineStr">
        <is>
          <t>ALLELEX</t>
        </is>
      </c>
      <c r="N91" s="34" t="inlineStr">
        <is>
          <t>100.00</t>
        </is>
      </c>
      <c r="O91" s="34" t="inlineStr">
        <is>
          <t>100.00</t>
        </is>
      </c>
      <c r="P91" s="34" t="inlineStr">
        <is>
          <t>JACVVU010000005.1</t>
        </is>
      </c>
      <c r="Q91" s="34" t="inlineStr">
        <is>
          <t>mcr-1.1</t>
        </is>
      </c>
      <c r="R91" s="34" t="inlineStr">
        <is>
          <t>mcr-1.1_1</t>
        </is>
      </c>
      <c r="S91" s="34" t="inlineStr">
        <is>
          <t>IncHI2_1 / IncHI2A_1</t>
        </is>
      </c>
      <c r="T91" s="34" t="n"/>
      <c r="U91" s="34" t="n"/>
      <c r="V91" s="34" t="n"/>
      <c r="W91" s="35" t="n"/>
      <c r="X91" s="34" t="inlineStr">
        <is>
          <t>155</t>
        </is>
      </c>
      <c r="Y91" s="34" t="inlineStr">
        <is>
          <t>adk(6) fumC(4) gyrB(14) icd(16) mdh(24) purA(8) recA(14)</t>
        </is>
      </c>
      <c r="Z91" s="34" t="inlineStr">
        <is>
          <t>IncFIA_1, IncFIB(AP001918)_1, IncFIC(FII)_1, IncFII(pCoo)_1_pCoo, IncHI2A_1, IncHI2_1</t>
        </is>
      </c>
    </row>
    <row r="92" ht="15" customHeight="1" s="20">
      <c r="A92" s="34" t="inlineStr">
        <is>
          <t>SAMN16064911</t>
        </is>
      </c>
      <c r="B92" s="34" t="inlineStr">
        <is>
          <t>GCA_014900925.1</t>
        </is>
      </c>
      <c r="C92" s="34" t="inlineStr">
        <is>
          <t>B (GenBank assembly)</t>
        </is>
      </c>
      <c r="D92" s="35" t="n"/>
      <c r="E92" s="36">
        <f>IF(D92="","",D92/5100000)</f>
        <v/>
      </c>
      <c r="F92" s="35" t="n">
        <v>261</v>
      </c>
      <c r="G92" s="35" t="n">
        <v>5385822</v>
      </c>
      <c r="H92" s="35" t="n">
        <v>93213</v>
      </c>
      <c r="I92" s="34" t="n">
        <v>50.26</v>
      </c>
      <c r="J92" s="34" t="inlineStr">
        <is>
          <t>Pass</t>
        </is>
      </c>
      <c r="K92" s="34" t="inlineStr">
        <is>
          <t>mcr-1.1</t>
        </is>
      </c>
      <c r="L92" s="34" t="inlineStr">
        <is>
          <t>mcr-1.1</t>
        </is>
      </c>
      <c r="M92" s="34" t="inlineStr">
        <is>
          <t>ALLELEX</t>
        </is>
      </c>
      <c r="N92" s="34" t="inlineStr">
        <is>
          <t>100.00</t>
        </is>
      </c>
      <c r="O92" s="34" t="inlineStr">
        <is>
          <t>100.00</t>
        </is>
      </c>
      <c r="P92" s="34" t="inlineStr">
        <is>
          <t>JACVVS010000041.1</t>
        </is>
      </c>
      <c r="Q92" s="34" t="inlineStr">
        <is>
          <t>mcr-1.1</t>
        </is>
      </c>
      <c r="R92" s="34" t="inlineStr">
        <is>
          <t>mcr-1.1_1</t>
        </is>
      </c>
      <c r="S92" s="34" t="inlineStr">
        <is>
          <t>none</t>
        </is>
      </c>
      <c r="T92" s="34" t="inlineStr">
        <is>
          <t>plasmid</t>
        </is>
      </c>
      <c r="U92" s="34" t="inlineStr">
        <is>
          <t>rep_cluster_1088,IncHI2A</t>
        </is>
      </c>
      <c r="V92" s="34" t="inlineStr">
        <is>
          <t>MOBH</t>
        </is>
      </c>
      <c r="W92" s="35" t="n">
        <v>255543</v>
      </c>
      <c r="X92" s="34" t="inlineStr">
        <is>
          <t>10</t>
        </is>
      </c>
      <c r="Y92" s="34" t="inlineStr">
        <is>
          <t>adk(10) fumC(11) gyrB(4) icd(8) mdh(8) purA(8) recA(2)</t>
        </is>
      </c>
      <c r="Z92" s="34" t="inlineStr">
        <is>
          <t>Col(MG828)_1, IncFIB(AP001918)_1, IncHI2A_1, IncHI2_1, IncI1_1_Alpha, IncN_1, IncX1_1, p0111_1</t>
        </is>
      </c>
    </row>
    <row r="93" ht="15" customHeight="1" s="20">
      <c r="A93" s="34" t="inlineStr">
        <is>
          <t>SAMN16064912</t>
        </is>
      </c>
      <c r="B93" s="34" t="inlineStr">
        <is>
          <t>GCA_014900935.1</t>
        </is>
      </c>
      <c r="C93" s="34" t="inlineStr">
        <is>
          <t>B (GenBank assembly)</t>
        </is>
      </c>
      <c r="D93" s="35" t="n"/>
      <c r="E93" s="36">
        <f>IF(D93="","",D93/5100000)</f>
        <v/>
      </c>
      <c r="F93" s="35" t="n">
        <v>255</v>
      </c>
      <c r="G93" s="35" t="n">
        <v>5388714</v>
      </c>
      <c r="H93" s="35" t="n">
        <v>97574</v>
      </c>
      <c r="I93" s="34" t="n">
        <v>50.26</v>
      </c>
      <c r="J93" s="34" t="inlineStr">
        <is>
          <t>Pass</t>
        </is>
      </c>
      <c r="K93" s="34" t="inlineStr">
        <is>
          <t>mcr-1.1</t>
        </is>
      </c>
      <c r="L93" s="34" t="inlineStr">
        <is>
          <t>mcr-1.1</t>
        </is>
      </c>
      <c r="M93" s="34" t="inlineStr">
        <is>
          <t>ALLELEX</t>
        </is>
      </c>
      <c r="N93" s="34" t="inlineStr">
        <is>
          <t>100.00</t>
        </is>
      </c>
      <c r="O93" s="34" t="inlineStr">
        <is>
          <t>100.00</t>
        </is>
      </c>
      <c r="P93" s="34" t="inlineStr">
        <is>
          <t>JACVVR010000028.1</t>
        </is>
      </c>
      <c r="Q93" s="34" t="inlineStr">
        <is>
          <t>mcr-1.1</t>
        </is>
      </c>
      <c r="R93" s="34" t="inlineStr">
        <is>
          <t>mcr-1.1_1</t>
        </is>
      </c>
      <c r="S93" s="34" t="inlineStr">
        <is>
          <t>none</t>
        </is>
      </c>
      <c r="T93" s="34" t="inlineStr">
        <is>
          <t>plasmid</t>
        </is>
      </c>
      <c r="U93" s="34" t="inlineStr">
        <is>
          <t>rep_cluster_1088,IncHI2A</t>
        </is>
      </c>
      <c r="V93" s="34" t="inlineStr">
        <is>
          <t>-</t>
        </is>
      </c>
      <c r="W93" s="35" t="n">
        <v>156587</v>
      </c>
      <c r="X93" s="34" t="inlineStr">
        <is>
          <t>10</t>
        </is>
      </c>
      <c r="Y93" s="34" t="inlineStr">
        <is>
          <t>adk(10) fumC(11) gyrB(4) icd(8) mdh(8) purA(8) recA(2)</t>
        </is>
      </c>
      <c r="Z93" s="34" t="inlineStr">
        <is>
          <t>Col(MG828)_1, IncFIB(AP001918)_1, IncHI2A_1, IncHI2_1, IncI1_1_Alpha, IncN_1, IncX1_1, p0111_1</t>
        </is>
      </c>
    </row>
    <row r="94" ht="15" customHeight="1" s="20">
      <c r="A94" s="34" t="inlineStr">
        <is>
          <t>SAMN14929804</t>
        </is>
      </c>
      <c r="B94" s="34" t="inlineStr">
        <is>
          <t>GCA_013618615.1</t>
        </is>
      </c>
      <c r="C94" s="34" t="inlineStr">
        <is>
          <t>B (GenBank assembly)</t>
        </is>
      </c>
      <c r="D94" s="35" t="n"/>
      <c r="E94" s="36">
        <f>IF(D94="","",D94/5100000)</f>
        <v/>
      </c>
      <c r="F94" s="35" t="n">
        <v>355</v>
      </c>
      <c r="G94" s="35" t="n">
        <v>4892138</v>
      </c>
      <c r="H94" s="35" t="n">
        <v>118869</v>
      </c>
      <c r="I94" s="34" t="n">
        <v>50.6</v>
      </c>
      <c r="J94" s="34" t="inlineStr">
        <is>
          <t>Pass</t>
        </is>
      </c>
      <c r="K94" s="34" t="inlineStr">
        <is>
          <t>mcr-1.1</t>
        </is>
      </c>
      <c r="L94" s="34" t="inlineStr">
        <is>
          <t>mcr-1.1</t>
        </is>
      </c>
      <c r="M94" s="34" t="inlineStr">
        <is>
          <t>ALLELEX</t>
        </is>
      </c>
      <c r="N94" s="34" t="inlineStr">
        <is>
          <t>100.00</t>
        </is>
      </c>
      <c r="O94" s="34" t="inlineStr">
        <is>
          <t>100.00</t>
        </is>
      </c>
      <c r="P94" s="34" t="inlineStr">
        <is>
          <t>JABSNZ010000042.1</t>
        </is>
      </c>
      <c r="Q94" s="34" t="inlineStr">
        <is>
          <t>mcr-1.1</t>
        </is>
      </c>
      <c r="R94" s="34" t="inlineStr">
        <is>
          <t>mcr-1.1_1</t>
        </is>
      </c>
      <c r="S94" s="34" t="inlineStr">
        <is>
          <t>IncX4_1</t>
        </is>
      </c>
      <c r="T94" s="34" t="n"/>
      <c r="U94" s="34" t="n"/>
      <c r="V94" s="34" t="n"/>
      <c r="W94" s="35" t="n"/>
      <c r="X94" s="34" t="inlineStr">
        <is>
          <t>744</t>
        </is>
      </c>
      <c r="Y94" s="34" t="inlineStr">
        <is>
          <t>adk(10) fumC(11) gyrB(135) icd(8) mdh(8) purA(8) recA(2)</t>
        </is>
      </c>
      <c r="Z94" s="34" t="inlineStr">
        <is>
          <t>IncFIB(AP001918)_1, IncX1_1, IncX4_1, p0111_1</t>
        </is>
      </c>
    </row>
    <row r="95" ht="15" customHeight="1" s="20">
      <c r="A95" s="34" t="inlineStr">
        <is>
          <t>SAMN14929806</t>
        </is>
      </c>
      <c r="B95" s="34" t="inlineStr">
        <is>
          <t>GCA_013618585.1</t>
        </is>
      </c>
      <c r="C95" s="34" t="inlineStr">
        <is>
          <t>B (GenBank assembly)</t>
        </is>
      </c>
      <c r="D95" s="35" t="n"/>
      <c r="E95" s="36">
        <f>IF(D95="","",D95/5100000)</f>
        <v/>
      </c>
      <c r="F95" s="35" t="n">
        <v>138</v>
      </c>
      <c r="G95" s="35" t="n">
        <v>5013412</v>
      </c>
      <c r="H95" s="35" t="n">
        <v>162095</v>
      </c>
      <c r="I95" s="34" t="n">
        <v>50.56</v>
      </c>
      <c r="J95" s="34" t="inlineStr">
        <is>
          <t>Pass</t>
        </is>
      </c>
      <c r="K95" s="34" t="inlineStr">
        <is>
          <t>mcr-1.1</t>
        </is>
      </c>
      <c r="L95" s="34" t="inlineStr">
        <is>
          <t>mcr-1.1</t>
        </is>
      </c>
      <c r="M95" s="34" t="inlineStr">
        <is>
          <t>ALLELEX</t>
        </is>
      </c>
      <c r="N95" s="34" t="inlineStr">
        <is>
          <t>100.00</t>
        </is>
      </c>
      <c r="O95" s="34" t="inlineStr">
        <is>
          <t>100.00</t>
        </is>
      </c>
      <c r="P95" s="34" t="inlineStr">
        <is>
          <t>JABSOB010000054.1</t>
        </is>
      </c>
      <c r="Q95" s="34" t="inlineStr">
        <is>
          <t>mcr-1.1</t>
        </is>
      </c>
      <c r="R95" s="34" t="inlineStr">
        <is>
          <t>mcr-1.1_1</t>
        </is>
      </c>
      <c r="S95" s="34" t="inlineStr">
        <is>
          <t>IncX4_1</t>
        </is>
      </c>
      <c r="T95" s="34" t="n"/>
      <c r="U95" s="34" t="n"/>
      <c r="V95" s="34" t="n"/>
      <c r="W95" s="35" t="n"/>
      <c r="X95" s="34" t="inlineStr">
        <is>
          <t>191</t>
        </is>
      </c>
      <c r="Y95" s="34" t="inlineStr">
        <is>
          <t>adk(6) fumC(29) gyrB(5) icd(18) mdh(11) purA(8) recA(41)</t>
        </is>
      </c>
      <c r="Z95" s="34" t="inlineStr">
        <is>
          <t>IncFIB(AP001918)_1, IncX4_1, p0111_1</t>
        </is>
      </c>
    </row>
    <row r="96" ht="15" customHeight="1" s="20">
      <c r="A96" s="34" t="inlineStr">
        <is>
          <t>SAMN14898735</t>
        </is>
      </c>
      <c r="B96" s="34" t="inlineStr">
        <is>
          <t>GCA_013187515.1</t>
        </is>
      </c>
      <c r="C96" s="34" t="inlineStr">
        <is>
          <t>B (GenBank assembly)</t>
        </is>
      </c>
      <c r="D96" s="35" t="n"/>
      <c r="E96" s="36">
        <f>IF(D96="","",D96/5100000)</f>
        <v/>
      </c>
      <c r="F96" s="35" t="n">
        <v>139</v>
      </c>
      <c r="G96" s="35" t="n">
        <v>5012499</v>
      </c>
      <c r="H96" s="35" t="n">
        <v>156050</v>
      </c>
      <c r="I96" s="34" t="n">
        <v>50.57</v>
      </c>
      <c r="J96" s="34" t="inlineStr">
        <is>
          <t>Pass</t>
        </is>
      </c>
      <c r="K96" s="34" t="inlineStr">
        <is>
          <t>mcr-1.1</t>
        </is>
      </c>
      <c r="L96" s="34" t="inlineStr">
        <is>
          <t>mcr-1.1</t>
        </is>
      </c>
      <c r="M96" s="34" t="inlineStr">
        <is>
          <t>ALLELEX</t>
        </is>
      </c>
      <c r="N96" s="34" t="inlineStr">
        <is>
          <t>100.00</t>
        </is>
      </c>
      <c r="O96" s="34" t="inlineStr">
        <is>
          <t>100.00</t>
        </is>
      </c>
      <c r="P96" s="34" t="inlineStr">
        <is>
          <t>JABMLX010000038.1</t>
        </is>
      </c>
      <c r="Q96" s="34" t="inlineStr">
        <is>
          <t>mcr-1.1</t>
        </is>
      </c>
      <c r="R96" s="34" t="inlineStr">
        <is>
          <t>mcr-1.1_1</t>
        </is>
      </c>
      <c r="S96" s="34" t="inlineStr">
        <is>
          <t>IncX4_1</t>
        </is>
      </c>
      <c r="T96" s="34" t="n"/>
      <c r="U96" s="34" t="n"/>
      <c r="V96" s="34" t="n"/>
      <c r="W96" s="35" t="n"/>
      <c r="X96" s="34" t="inlineStr">
        <is>
          <t>191</t>
        </is>
      </c>
      <c r="Y96" s="34" t="inlineStr">
        <is>
          <t>adk(6) fumC(29) gyrB(5) icd(18) mdh(11) purA(8) recA(41)</t>
        </is>
      </c>
      <c r="Z96" s="34" t="inlineStr">
        <is>
          <t>IncFIB(AP001918)_1, IncX4_1, p0111_1</t>
        </is>
      </c>
    </row>
    <row r="97" ht="15" customHeight="1" s="20">
      <c r="A97" s="34" t="inlineStr">
        <is>
          <t>SAMN14898732</t>
        </is>
      </c>
      <c r="B97" s="34" t="inlineStr">
        <is>
          <t>GCA_013187505.1</t>
        </is>
      </c>
      <c r="C97" s="34" t="inlineStr">
        <is>
          <t>B (GenBank assembly)</t>
        </is>
      </c>
      <c r="D97" s="35" t="n"/>
      <c r="E97" s="36">
        <f>IF(D97="","",D97/5100000)</f>
        <v/>
      </c>
      <c r="F97" s="35" t="n">
        <v>89</v>
      </c>
      <c r="G97" s="35" t="n">
        <v>4995238</v>
      </c>
      <c r="H97" s="35" t="n">
        <v>246353</v>
      </c>
      <c r="I97" s="34" t="n">
        <v>50.59</v>
      </c>
      <c r="J97" s="34" t="inlineStr">
        <is>
          <t>Pass</t>
        </is>
      </c>
      <c r="K97" s="34" t="inlineStr">
        <is>
          <t>mcr-1.1</t>
        </is>
      </c>
      <c r="L97" s="34" t="inlineStr">
        <is>
          <t>mcr-1.1</t>
        </is>
      </c>
      <c r="M97" s="34" t="inlineStr">
        <is>
          <t>ALLELEX</t>
        </is>
      </c>
      <c r="N97" s="34" t="inlineStr">
        <is>
          <t>100.00</t>
        </is>
      </c>
      <c r="O97" s="34" t="inlineStr">
        <is>
          <t>100.00</t>
        </is>
      </c>
      <c r="P97" s="34" t="inlineStr">
        <is>
          <t>JABMMA010000028.1</t>
        </is>
      </c>
      <c r="Q97" s="34" t="inlineStr">
        <is>
          <t>mcr-1.1</t>
        </is>
      </c>
      <c r="R97" s="34" t="inlineStr">
        <is>
          <t>mcr-1.1_1</t>
        </is>
      </c>
      <c r="S97" s="34" t="inlineStr">
        <is>
          <t>IncX4_1</t>
        </is>
      </c>
      <c r="T97" s="34" t="n"/>
      <c r="U97" s="34" t="n"/>
      <c r="V97" s="34" t="n"/>
      <c r="W97" s="35" t="n"/>
      <c r="X97" s="34" t="inlineStr">
        <is>
          <t>2485</t>
        </is>
      </c>
      <c r="Y97" s="34" t="inlineStr">
        <is>
          <t>adk(6) fumC(4) gyrB(159) icd(140) mdh(112) purA(1) recA(17)</t>
        </is>
      </c>
      <c r="Z97" s="34" t="inlineStr">
        <is>
          <t>IncFIA_1, IncFIB(AP001918)_1, IncFIC(FII)_1, IncX1_1, IncX4_1</t>
        </is>
      </c>
    </row>
    <row r="98" ht="15" customHeight="1" s="20">
      <c r="A98" s="34" t="inlineStr">
        <is>
          <t>SAMN14898734</t>
        </is>
      </c>
      <c r="B98" s="34" t="inlineStr">
        <is>
          <t>GCA_013187405.1</t>
        </is>
      </c>
      <c r="C98" s="34" t="inlineStr">
        <is>
          <t>B (GenBank assembly)</t>
        </is>
      </c>
      <c r="D98" s="35" t="n"/>
      <c r="E98" s="36">
        <f>IF(D98="","",D98/5100000)</f>
        <v/>
      </c>
      <c r="F98" s="35" t="n">
        <v>87</v>
      </c>
      <c r="G98" s="35" t="n">
        <v>4995829</v>
      </c>
      <c r="H98" s="35" t="n">
        <v>244193</v>
      </c>
      <c r="I98" s="34" t="n">
        <v>50.59</v>
      </c>
      <c r="J98" s="34" t="inlineStr">
        <is>
          <t>Pass</t>
        </is>
      </c>
      <c r="K98" s="34" t="inlineStr">
        <is>
          <t>mcr-1.1</t>
        </is>
      </c>
      <c r="L98" s="34" t="inlineStr">
        <is>
          <t>mcr-1.1</t>
        </is>
      </c>
      <c r="M98" s="34" t="inlineStr">
        <is>
          <t>ALLELEX</t>
        </is>
      </c>
      <c r="N98" s="34" t="inlineStr">
        <is>
          <t>100.00</t>
        </is>
      </c>
      <c r="O98" s="34" t="inlineStr">
        <is>
          <t>100.00</t>
        </is>
      </c>
      <c r="P98" s="34" t="inlineStr">
        <is>
          <t>JABMLY010000026.1</t>
        </is>
      </c>
      <c r="Q98" s="34" t="inlineStr">
        <is>
          <t>mcr-1.1</t>
        </is>
      </c>
      <c r="R98" s="34" t="inlineStr">
        <is>
          <t>mcr-1.1_1</t>
        </is>
      </c>
      <c r="S98" s="34" t="inlineStr">
        <is>
          <t>IncX4_1</t>
        </is>
      </c>
      <c r="T98" s="34" t="n"/>
      <c r="U98" s="34" t="n"/>
      <c r="V98" s="34" t="n"/>
      <c r="W98" s="35" t="n"/>
      <c r="X98" s="34" t="inlineStr">
        <is>
          <t>2485</t>
        </is>
      </c>
      <c r="Y98" s="34" t="inlineStr">
        <is>
          <t>adk(6) fumC(4) gyrB(159) icd(140) mdh(112) purA(1) recA(17)</t>
        </is>
      </c>
      <c r="Z98" s="34" t="inlineStr">
        <is>
          <t>IncFIA_1, IncFIB(AP001918)_1, IncFIC(FII)_1, IncX1_1, IncX4_1</t>
        </is>
      </c>
    </row>
    <row r="99" ht="15" customHeight="1" s="20">
      <c r="A99" s="34" t="inlineStr">
        <is>
          <t>SAMN13107363</t>
        </is>
      </c>
      <c r="B99" s="34" t="inlineStr">
        <is>
          <t>GCA_009925515.1</t>
        </is>
      </c>
      <c r="C99" s="34" t="inlineStr">
        <is>
          <t>B (GenBank assembly)</t>
        </is>
      </c>
      <c r="D99" s="35" t="n"/>
      <c r="E99" s="36">
        <f>IF(D99="","",D99/5100000)</f>
        <v/>
      </c>
      <c r="F99" s="35" t="n">
        <v>113</v>
      </c>
      <c r="G99" s="35" t="n">
        <v>4617098</v>
      </c>
      <c r="H99" s="35" t="n">
        <v>150775</v>
      </c>
      <c r="I99" s="34" t="n">
        <v>50.61</v>
      </c>
      <c r="J99" s="34" t="inlineStr">
        <is>
          <t>Pass</t>
        </is>
      </c>
      <c r="K99" s="34" t="inlineStr">
        <is>
          <t>mcr-1.1</t>
        </is>
      </c>
      <c r="L99" s="34" t="inlineStr">
        <is>
          <t>mcr-1.1</t>
        </is>
      </c>
      <c r="M99" s="34" t="inlineStr">
        <is>
          <t>ALLELEX</t>
        </is>
      </c>
      <c r="N99" s="34" t="inlineStr">
        <is>
          <t>100.00</t>
        </is>
      </c>
      <c r="O99" s="34" t="inlineStr">
        <is>
          <t>100.00</t>
        </is>
      </c>
      <c r="P99" s="34" t="inlineStr">
        <is>
          <t>WHZM01000052.1</t>
        </is>
      </c>
      <c r="Q99" s="34" t="inlineStr">
        <is>
          <t>mcr-1.1</t>
        </is>
      </c>
      <c r="R99" s="34" t="inlineStr">
        <is>
          <t>mcr-1.1_1</t>
        </is>
      </c>
      <c r="S99" s="34" t="inlineStr">
        <is>
          <t>IncX4_1</t>
        </is>
      </c>
      <c r="T99" s="34" t="n"/>
      <c r="U99" s="34" t="n"/>
      <c r="V99" s="34" t="n"/>
      <c r="W99" s="35" t="n"/>
      <c r="X99" s="34" t="inlineStr">
        <is>
          <t>46</t>
        </is>
      </c>
      <c r="Y99" s="34" t="inlineStr">
        <is>
          <t>adk(8) fumC(7) gyrB(1) icd(8) mdh(8) purA(8) recA(6)</t>
        </is>
      </c>
      <c r="Z99" s="34" t="inlineStr">
        <is>
          <t>IncFIB(AP001918)_1, IncFII(pCoo)_1_pCoo, IncX4_1</t>
        </is>
      </c>
    </row>
    <row r="100" ht="15" customHeight="1" s="20">
      <c r="A100" s="34" t="inlineStr">
        <is>
          <t>SAMN13107361</t>
        </is>
      </c>
      <c r="B100" s="34" t="inlineStr">
        <is>
          <t>GCA_009925505.1</t>
        </is>
      </c>
      <c r="C100" s="34" t="inlineStr">
        <is>
          <t>B (GenBank assembly)</t>
        </is>
      </c>
      <c r="D100" s="35" t="n"/>
      <c r="E100" s="36">
        <f>IF(D100="","",D100/5100000)</f>
        <v/>
      </c>
      <c r="F100" s="35" t="n">
        <v>85</v>
      </c>
      <c r="G100" s="35" t="n">
        <v>4927353</v>
      </c>
      <c r="H100" s="35" t="n">
        <v>305484</v>
      </c>
      <c r="I100" s="34" t="n">
        <v>50.74</v>
      </c>
      <c r="J100" s="34" t="inlineStr">
        <is>
          <t>Pass</t>
        </is>
      </c>
      <c r="K100" s="34" t="inlineStr">
        <is>
          <t>mcr-1.1</t>
        </is>
      </c>
      <c r="L100" s="34" t="inlineStr">
        <is>
          <t>mcr-1.1</t>
        </is>
      </c>
      <c r="M100" s="34" t="inlineStr">
        <is>
          <t>ALLELEX</t>
        </is>
      </c>
      <c r="N100" s="34" t="inlineStr">
        <is>
          <t>100.00</t>
        </is>
      </c>
      <c r="O100" s="34" t="inlineStr">
        <is>
          <t>100.00</t>
        </is>
      </c>
      <c r="P100" s="34" t="inlineStr">
        <is>
          <t>WHZO01000015.1</t>
        </is>
      </c>
      <c r="Q100" s="34" t="inlineStr">
        <is>
          <t>mcr-1.1</t>
        </is>
      </c>
      <c r="R100" s="34" t="inlineStr">
        <is>
          <t>mcr-1.1_1</t>
        </is>
      </c>
      <c r="S100" s="34" t="inlineStr">
        <is>
          <t>IncX4_1</t>
        </is>
      </c>
      <c r="T100" s="34" t="n"/>
      <c r="U100" s="34" t="n"/>
      <c r="V100" s="34" t="n"/>
      <c r="W100" s="35" t="n"/>
      <c r="X100" s="34" t="inlineStr">
        <is>
          <t>224</t>
        </is>
      </c>
      <c r="Y100" s="34" t="inlineStr">
        <is>
          <t>adk(6) fumC(4) gyrB(33) icd(16) mdh(11) purA(8) recA(6)</t>
        </is>
      </c>
      <c r="Z100" s="34" t="inlineStr">
        <is>
          <t>IncFIB(AP001918)_1, IncX4_1</t>
        </is>
      </c>
    </row>
    <row r="101" ht="15" customHeight="1" s="20">
      <c r="A101" s="34" t="inlineStr">
        <is>
          <t>SAMN13107364</t>
        </is>
      </c>
      <c r="B101" s="34" t="inlineStr">
        <is>
          <t>GCA_009925485.1</t>
        </is>
      </c>
      <c r="C101" s="34" t="inlineStr">
        <is>
          <t>B (GenBank assembly)</t>
        </is>
      </c>
      <c r="D101" s="35" t="n"/>
      <c r="E101" s="36">
        <f>IF(D101="","",D101/5100000)</f>
        <v/>
      </c>
      <c r="F101" s="35" t="n">
        <v>98</v>
      </c>
      <c r="G101" s="35" t="n">
        <v>4623384</v>
      </c>
      <c r="H101" s="35" t="n">
        <v>178448</v>
      </c>
      <c r="I101" s="34" t="n">
        <v>50.62</v>
      </c>
      <c r="J101" s="34" t="inlineStr">
        <is>
          <t>Pass</t>
        </is>
      </c>
      <c r="K101" s="34" t="inlineStr">
        <is>
          <t>mcr-1.1</t>
        </is>
      </c>
      <c r="L101" s="34" t="inlineStr">
        <is>
          <t>mcr-1.1</t>
        </is>
      </c>
      <c r="M101" s="34" t="inlineStr">
        <is>
          <t>ALLELEX</t>
        </is>
      </c>
      <c r="N101" s="34" t="inlineStr">
        <is>
          <t>100.00</t>
        </is>
      </c>
      <c r="O101" s="34" t="inlineStr">
        <is>
          <t>100.00</t>
        </is>
      </c>
      <c r="P101" s="34" t="inlineStr">
        <is>
          <t>WHZL01000037.1</t>
        </is>
      </c>
      <c r="Q101" s="34" t="inlineStr">
        <is>
          <t>mcr-1.1</t>
        </is>
      </c>
      <c r="R101" s="34" t="inlineStr">
        <is>
          <t>mcr-1.1_1</t>
        </is>
      </c>
      <c r="S101" s="34" t="inlineStr">
        <is>
          <t>IncX4_1</t>
        </is>
      </c>
      <c r="T101" s="34" t="n"/>
      <c r="U101" s="34" t="n"/>
      <c r="V101" s="34" t="n"/>
      <c r="W101" s="35" t="n"/>
      <c r="X101" s="34" t="inlineStr">
        <is>
          <t>46</t>
        </is>
      </c>
      <c r="Y101" s="34" t="inlineStr">
        <is>
          <t>adk(8) fumC(7) gyrB(1) icd(8) mdh(8) purA(8) recA(6)</t>
        </is>
      </c>
      <c r="Z101" s="34" t="inlineStr">
        <is>
          <t>IncFIB(AP001918)_1, IncFII(pCoo)_1_pCoo, IncX4_1</t>
        </is>
      </c>
    </row>
    <row r="102" ht="15" customHeight="1" s="20">
      <c r="A102" s="34" t="inlineStr">
        <is>
          <t>SAMN13107345</t>
        </is>
      </c>
      <c r="B102" s="34" t="inlineStr">
        <is>
          <t>GCA_009925195.1</t>
        </is>
      </c>
      <c r="C102" s="34" t="inlineStr">
        <is>
          <t>B (GenBank assembly)</t>
        </is>
      </c>
      <c r="D102" s="35" t="n"/>
      <c r="E102" s="36">
        <f>IF(D102="","",D102/5100000)</f>
        <v/>
      </c>
      <c r="F102" s="35" t="n">
        <v>194</v>
      </c>
      <c r="G102" s="35" t="n">
        <v>5298327</v>
      </c>
      <c r="H102" s="35" t="n">
        <v>140511</v>
      </c>
      <c r="I102" s="34" t="n">
        <v>50.36</v>
      </c>
      <c r="J102" s="34" t="inlineStr">
        <is>
          <t>Pass</t>
        </is>
      </c>
      <c r="K102" s="34" t="inlineStr">
        <is>
          <t>mcr-1.1</t>
        </is>
      </c>
      <c r="L102" s="34" t="inlineStr">
        <is>
          <t>mcr-1.1</t>
        </is>
      </c>
      <c r="M102" s="34" t="inlineStr">
        <is>
          <t>ALLELEX</t>
        </is>
      </c>
      <c r="N102" s="34" t="inlineStr">
        <is>
          <t>100.00</t>
        </is>
      </c>
      <c r="O102" s="34" t="inlineStr">
        <is>
          <t>100.00</t>
        </is>
      </c>
      <c r="P102" s="34" t="inlineStr">
        <is>
          <t>WHYY01000051.1</t>
        </is>
      </c>
      <c r="Q102" s="34" t="inlineStr">
        <is>
          <t>mcr-1.1</t>
        </is>
      </c>
      <c r="R102" s="34" t="inlineStr">
        <is>
          <t>mcr-1.1_1</t>
        </is>
      </c>
      <c r="S102" s="34" t="inlineStr">
        <is>
          <t>none</t>
        </is>
      </c>
      <c r="T102" s="34" t="inlineStr">
        <is>
          <t>plasmid</t>
        </is>
      </c>
      <c r="U102" s="34" t="inlineStr">
        <is>
          <t>IncHI2A,IncI2,rep_cluster_1088</t>
        </is>
      </c>
      <c r="V102" s="34" t="inlineStr">
        <is>
          <t>MOBH,MOBP</t>
        </is>
      </c>
      <c r="W102" s="35" t="n">
        <v>345093</v>
      </c>
      <c r="X102" s="34" t="inlineStr">
        <is>
          <t>155</t>
        </is>
      </c>
      <c r="Y102" s="34" t="inlineStr">
        <is>
          <t>adk(6) fumC(4) gyrB(14) icd(16) mdh(24) purA(8) recA(14)</t>
        </is>
      </c>
      <c r="Z102" s="34" t="inlineStr">
        <is>
          <t>IncFIB(AP001918)_1, IncFIC(FII)_1, IncHI2A_1, IncHI2_1, IncI1_1_Alpha, IncI2_1_Delta, IncN_1, IncX1_1</t>
        </is>
      </c>
    </row>
    <row r="103" ht="15" customHeight="1" s="20">
      <c r="A103" s="34" t="inlineStr">
        <is>
          <t>SAMN13107349</t>
        </is>
      </c>
      <c r="B103" s="34" t="inlineStr">
        <is>
          <t>GCA_009925175.1</t>
        </is>
      </c>
      <c r="C103" s="34" t="inlineStr">
        <is>
          <t>B (GenBank assembly)</t>
        </is>
      </c>
      <c r="D103" s="35" t="n"/>
      <c r="E103" s="36">
        <f>IF(D103="","",D103/5100000)</f>
        <v/>
      </c>
      <c r="F103" s="35" t="n">
        <v>134</v>
      </c>
      <c r="G103" s="35" t="n">
        <v>4643961</v>
      </c>
      <c r="H103" s="35" t="n">
        <v>108469</v>
      </c>
      <c r="I103" s="34" t="n">
        <v>50.54</v>
      </c>
      <c r="J103" s="34" t="inlineStr">
        <is>
          <t>Pass</t>
        </is>
      </c>
      <c r="K103" s="34" t="inlineStr">
        <is>
          <t>mcr-1.1</t>
        </is>
      </c>
      <c r="L103" s="34" t="inlineStr">
        <is>
          <t>mcr-1.1</t>
        </is>
      </c>
      <c r="M103" s="34" t="inlineStr">
        <is>
          <t>ALLELEX</t>
        </is>
      </c>
      <c r="N103" s="34" t="inlineStr">
        <is>
          <t>100.00</t>
        </is>
      </c>
      <c r="O103" s="34" t="inlineStr">
        <is>
          <t>100.00</t>
        </is>
      </c>
      <c r="P103" s="34" t="inlineStr">
        <is>
          <t>WHYV01000041.1</t>
        </is>
      </c>
      <c r="Q103" s="34" t="inlineStr">
        <is>
          <t>mcr-1.1</t>
        </is>
      </c>
      <c r="R103" s="34" t="inlineStr">
        <is>
          <t>mcr-1.1_1</t>
        </is>
      </c>
      <c r="S103" s="34" t="inlineStr">
        <is>
          <t>IncX4_1</t>
        </is>
      </c>
      <c r="T103" s="34" t="n"/>
      <c r="U103" s="34" t="n"/>
      <c r="V103" s="34" t="n"/>
      <c r="W103" s="35" t="n"/>
      <c r="X103" s="34" t="inlineStr">
        <is>
          <t>46</t>
        </is>
      </c>
      <c r="Y103" s="34" t="inlineStr">
        <is>
          <t>adk(8) fumC(7) gyrB(1) icd(8) mdh(8) purA(8) recA(6)</t>
        </is>
      </c>
      <c r="Z103" s="34" t="inlineStr">
        <is>
          <t>IncFIB(AP001918)_1, IncFII(pCoo)_1_pCoo, IncX4_1</t>
        </is>
      </c>
    </row>
    <row r="104" ht="15" customHeight="1" s="20">
      <c r="A104" s="34" t="inlineStr">
        <is>
          <t>SAMN13107350</t>
        </is>
      </c>
      <c r="B104" s="34" t="inlineStr">
        <is>
          <t>GCA_009925165.1</t>
        </is>
      </c>
      <c r="C104" s="34" t="inlineStr">
        <is>
          <t>B (GenBank assembly)</t>
        </is>
      </c>
      <c r="D104" s="35" t="n"/>
      <c r="E104" s="36">
        <f>IF(D104="","",D104/5100000)</f>
        <v/>
      </c>
      <c r="F104" s="35" t="n">
        <v>123</v>
      </c>
      <c r="G104" s="35" t="n">
        <v>4608338</v>
      </c>
      <c r="H104" s="35" t="n">
        <v>130047</v>
      </c>
      <c r="I104" s="34" t="n">
        <v>50.61</v>
      </c>
      <c r="J104" s="34" t="inlineStr">
        <is>
          <t>Pass</t>
        </is>
      </c>
      <c r="K104" s="34" t="inlineStr">
        <is>
          <t>mcr-1.1</t>
        </is>
      </c>
      <c r="L104" s="34" t="inlineStr">
        <is>
          <t>mcr-1.1</t>
        </is>
      </c>
      <c r="M104" s="34" t="inlineStr">
        <is>
          <t>ALLELEX</t>
        </is>
      </c>
      <c r="N104" s="34" t="inlineStr">
        <is>
          <t>100.00</t>
        </is>
      </c>
      <c r="O104" s="34" t="inlineStr">
        <is>
          <t>100.00</t>
        </is>
      </c>
      <c r="P104" s="34" t="inlineStr">
        <is>
          <t>WHYW01000038.1</t>
        </is>
      </c>
      <c r="Q104" s="34" t="inlineStr">
        <is>
          <t>mcr-1.1</t>
        </is>
      </c>
      <c r="R104" s="34" t="inlineStr">
        <is>
          <t>mcr-1.1_1</t>
        </is>
      </c>
      <c r="S104" s="34" t="inlineStr">
        <is>
          <t>IncX4_1</t>
        </is>
      </c>
      <c r="T104" s="34" t="n"/>
      <c r="U104" s="34" t="n"/>
      <c r="V104" s="34" t="n"/>
      <c r="W104" s="35" t="n"/>
      <c r="X104" s="34" t="inlineStr">
        <is>
          <t>46</t>
        </is>
      </c>
      <c r="Y104" s="34" t="inlineStr">
        <is>
          <t>adk(8) fumC(7) gyrB(1) icd(8) mdh(8) purA(8) recA(6)</t>
        </is>
      </c>
      <c r="Z104" s="34" t="inlineStr">
        <is>
          <t>IncFIB(AP001918)_1, IncFII(pCoo)_1_pCoo, IncX4_1</t>
        </is>
      </c>
    </row>
    <row r="105" ht="15" customHeight="1" s="20">
      <c r="A105" s="34" t="inlineStr">
        <is>
          <t>SAMN13107346</t>
        </is>
      </c>
      <c r="B105" s="34" t="inlineStr">
        <is>
          <t>GCA_009925145.1</t>
        </is>
      </c>
      <c r="C105" s="34" t="inlineStr">
        <is>
          <t>B (GenBank assembly)</t>
        </is>
      </c>
      <c r="D105" s="35" t="n"/>
      <c r="E105" s="36">
        <f>IF(D105="","",D105/5100000)</f>
        <v/>
      </c>
      <c r="F105" s="35" t="n">
        <v>135</v>
      </c>
      <c r="G105" s="35" t="n">
        <v>4644992</v>
      </c>
      <c r="H105" s="35" t="n">
        <v>108470</v>
      </c>
      <c r="I105" s="34" t="n">
        <v>50.54</v>
      </c>
      <c r="J105" s="34" t="inlineStr">
        <is>
          <t>Pass</t>
        </is>
      </c>
      <c r="K105" s="34" t="inlineStr">
        <is>
          <t>mcr-1.1</t>
        </is>
      </c>
      <c r="L105" s="34" t="inlineStr">
        <is>
          <t>mcr-1.1</t>
        </is>
      </c>
      <c r="M105" s="34" t="inlineStr">
        <is>
          <t>ALLELEX</t>
        </is>
      </c>
      <c r="N105" s="34" t="inlineStr">
        <is>
          <t>100.00</t>
        </is>
      </c>
      <c r="O105" s="34" t="inlineStr">
        <is>
          <t>100.00</t>
        </is>
      </c>
      <c r="P105" s="34" t="inlineStr">
        <is>
          <t>WHYU01000041.1</t>
        </is>
      </c>
      <c r="Q105" s="34" t="inlineStr">
        <is>
          <t>mcr-1.1</t>
        </is>
      </c>
      <c r="R105" s="34" t="inlineStr">
        <is>
          <t>mcr-1.1_1</t>
        </is>
      </c>
      <c r="S105" s="34" t="inlineStr">
        <is>
          <t>IncX4_1</t>
        </is>
      </c>
      <c r="T105" s="34" t="n"/>
      <c r="U105" s="34" t="n"/>
      <c r="V105" s="34" t="n"/>
      <c r="W105" s="35" t="n"/>
      <c r="X105" s="34" t="inlineStr">
        <is>
          <t>46</t>
        </is>
      </c>
      <c r="Y105" s="34" t="inlineStr">
        <is>
          <t>adk(8) fumC(7) gyrB(1) icd(8) mdh(8) purA(8) recA(6)</t>
        </is>
      </c>
      <c r="Z105" s="34" t="inlineStr">
        <is>
          <t>IncFIB(AP001918)_1, IncFII(pCoo)_1_pCoo, IncX4_1</t>
        </is>
      </c>
    </row>
    <row r="106" ht="15" customHeight="1" s="20">
      <c r="A106" s="34" t="inlineStr">
        <is>
          <t>SAMN12501891</t>
        </is>
      </c>
      <c r="B106" s="34" t="inlineStr">
        <is>
          <t>GCA_007993675.2</t>
        </is>
      </c>
      <c r="C106" s="34" t="inlineStr">
        <is>
          <t>B (GenBank assembly)</t>
        </is>
      </c>
      <c r="D106" s="35" t="n"/>
      <c r="E106" s="36">
        <f>IF(D106="","",D106/5100000)</f>
        <v/>
      </c>
      <c r="F106" s="35" t="n">
        <v>2</v>
      </c>
      <c r="G106" s="35" t="n">
        <v>5026580</v>
      </c>
      <c r="H106" s="35" t="n">
        <v>4964579</v>
      </c>
      <c r="I106" s="34" t="n">
        <v>50.39</v>
      </c>
      <c r="J106" s="34" t="inlineStr">
        <is>
          <t>Pass</t>
        </is>
      </c>
      <c r="K106" s="34" t="inlineStr">
        <is>
          <t>mcr-1.1</t>
        </is>
      </c>
      <c r="L106" s="34" t="inlineStr">
        <is>
          <t>mcr-1.1</t>
        </is>
      </c>
      <c r="M106" s="34" t="inlineStr">
        <is>
          <t>ALLELEX; ALLELEX</t>
        </is>
      </c>
      <c r="N106" s="34" t="inlineStr">
        <is>
          <t>100.00; 100.00</t>
        </is>
      </c>
      <c r="O106" s="34" t="inlineStr">
        <is>
          <t>100.00; 100.00</t>
        </is>
      </c>
      <c r="P106" s="34" t="inlineStr">
        <is>
          <t>CP042470.1; CP042471.2</t>
        </is>
      </c>
      <c r="Q106" s="34" t="inlineStr">
        <is>
          <t>mcr-1.1</t>
        </is>
      </c>
      <c r="R106" s="34" t="inlineStr">
        <is>
          <t>mcr-1.1_1</t>
        </is>
      </c>
      <c r="S106" s="34" t="inlineStr">
        <is>
          <t>IncHI2_1 / IncFIB(AP001918)_1 / IncI2_1 / IncX1_1</t>
        </is>
      </c>
      <c r="T106" s="34" t="inlineStr">
        <is>
          <t>plasmid (CP042471.2) and chromosome-size contig (CP042470.1)</t>
        </is>
      </c>
      <c r="U106" s="34" t="n"/>
      <c r="V106" s="34" t="n"/>
      <c r="W106" s="35" t="n"/>
      <c r="X106" s="34" t="inlineStr">
        <is>
          <t>10</t>
        </is>
      </c>
      <c r="Y106" s="34" t="inlineStr">
        <is>
          <t>adk(10) fumC(11) gyrB(4) icd(8) mdh(8) purA(8) recA(2)</t>
        </is>
      </c>
      <c r="Z106" s="34" t="inlineStr">
        <is>
          <t>IncFIB(AP001918)_1, IncHI2_1, IncI2_1, IncX1_1</t>
        </is>
      </c>
    </row>
    <row r="107" ht="15" customHeight="1" s="20">
      <c r="A107" s="34" t="inlineStr">
        <is>
          <t>SAMN13245793</t>
        </is>
      </c>
      <c r="B107" s="34" t="inlineStr">
        <is>
          <t>SRR10420728</t>
        </is>
      </c>
      <c r="C107" s="34" t="inlineStr">
        <is>
          <t>A (reads, Shovill)</t>
        </is>
      </c>
      <c r="D107" s="35" t="n">
        <v>320130038</v>
      </c>
      <c r="E107" s="36">
        <f>IF(D107="","",D107/5100000)</f>
        <v/>
      </c>
      <c r="F107" s="35" t="n">
        <v>196</v>
      </c>
      <c r="G107" s="35" t="n">
        <v>4650697</v>
      </c>
      <c r="H107" s="35" t="n">
        <v>79981</v>
      </c>
      <c r="I107" s="34" t="n">
        <v>50.75</v>
      </c>
      <c r="J107" s="34" t="inlineStr">
        <is>
          <t>Pass</t>
        </is>
      </c>
      <c r="K107" s="34" t="inlineStr">
        <is>
          <t>mcr-1.1</t>
        </is>
      </c>
      <c r="L107" s="34" t="inlineStr">
        <is>
          <t>mcr-1.1</t>
        </is>
      </c>
      <c r="M107" s="34" t="inlineStr">
        <is>
          <t>ALLELEX</t>
        </is>
      </c>
      <c r="N107" s="34" t="inlineStr">
        <is>
          <t>100.00</t>
        </is>
      </c>
      <c r="O107" s="34" t="inlineStr">
        <is>
          <t>100.00</t>
        </is>
      </c>
      <c r="P107" s="34" t="inlineStr">
        <is>
          <t>contig00049</t>
        </is>
      </c>
      <c r="Q107" s="34" t="inlineStr">
        <is>
          <t>mcr-1.1</t>
        </is>
      </c>
      <c r="R107" s="34" t="inlineStr">
        <is>
          <t>mcr-1.1_1</t>
        </is>
      </c>
      <c r="S107" s="34" t="inlineStr">
        <is>
          <t>IncX4_1</t>
        </is>
      </c>
      <c r="T107" s="34" t="n"/>
      <c r="U107" s="34" t="n"/>
      <c r="V107" s="34" t="n"/>
      <c r="W107" s="35" t="n"/>
      <c r="X107" s="34" t="inlineStr">
        <is>
          <t>1638</t>
        </is>
      </c>
      <c r="Y107" s="34" t="inlineStr">
        <is>
          <t>adk(10) fumC(11) gyrB(4) icd(12) mdh(8) purA(45) recA(2)</t>
        </is>
      </c>
      <c r="Z107" s="34" t="inlineStr">
        <is>
          <t>Col(BS512)_1, IncX1_1, IncX4_1</t>
        </is>
      </c>
    </row>
    <row r="108" ht="15" customHeight="1" s="20">
      <c r="A108" s="34" t="inlineStr">
        <is>
          <t>SAMN12727826</t>
        </is>
      </c>
      <c r="B108" s="34" t="inlineStr">
        <is>
          <t>SRR10098861</t>
        </is>
      </c>
      <c r="C108" s="34" t="inlineStr">
        <is>
          <t>A (reads, Shovill)</t>
        </is>
      </c>
      <c r="D108" s="35" t="n">
        <v>555608233</v>
      </c>
      <c r="E108" s="36">
        <f>IF(D108="","",D108/5100000)</f>
        <v/>
      </c>
      <c r="F108" s="35" t="n">
        <v>228</v>
      </c>
      <c r="G108" s="35" t="n">
        <v>5017553</v>
      </c>
      <c r="H108" s="35" t="n">
        <v>68534</v>
      </c>
      <c r="I108" s="34" t="n">
        <v>50.47</v>
      </c>
      <c r="J108" s="34" t="inlineStr">
        <is>
          <t>Pass</t>
        </is>
      </c>
      <c r="K108" s="34" t="inlineStr">
        <is>
          <t>mcr-1.1</t>
        </is>
      </c>
      <c r="L108" s="34" t="inlineStr">
        <is>
          <t>mcr-1.1</t>
        </is>
      </c>
      <c r="M108" s="34" t="inlineStr">
        <is>
          <t>ALLELEX</t>
        </is>
      </c>
      <c r="N108" s="34" t="inlineStr">
        <is>
          <t>100.00</t>
        </is>
      </c>
      <c r="O108" s="34" t="inlineStr">
        <is>
          <t>100.00</t>
        </is>
      </c>
      <c r="P108" s="34" t="inlineStr">
        <is>
          <t>contig00057</t>
        </is>
      </c>
      <c r="Q108" s="34" t="inlineStr">
        <is>
          <t>mcr-1.1</t>
        </is>
      </c>
      <c r="R108" s="34" t="inlineStr">
        <is>
          <t>mcr-1.1_1</t>
        </is>
      </c>
      <c r="S108" s="34" t="inlineStr">
        <is>
          <t>IncX4_1</t>
        </is>
      </c>
      <c r="T108" s="34" t="n"/>
      <c r="U108" s="34" t="n"/>
      <c r="V108" s="34" t="n"/>
      <c r="W108" s="35" t="n"/>
      <c r="X108" s="34" t="inlineStr">
        <is>
          <t>10</t>
        </is>
      </c>
      <c r="Y108" s="34" t="inlineStr">
        <is>
          <t>adk(10) fumC(11) gyrB(4) icd(8) mdh(8) purA(8) recA(2)</t>
        </is>
      </c>
      <c r="Z108" s="34" t="inlineStr">
        <is>
          <t>Col(pHAD28)_1, ColpVC_1, IncHI2A_1, IncHI2_1, IncX4_1, p0111_1</t>
        </is>
      </c>
    </row>
    <row r="109" ht="15" customHeight="1" s="20">
      <c r="A109" s="34" t="inlineStr">
        <is>
          <t>SAMN06928087</t>
        </is>
      </c>
      <c r="B109" s="34" t="inlineStr">
        <is>
          <t>SRR5688544</t>
        </is>
      </c>
      <c r="C109" s="34" t="inlineStr">
        <is>
          <t>A (reads, Shovill)</t>
        </is>
      </c>
      <c r="D109" s="35" t="n">
        <v>496337763</v>
      </c>
      <c r="E109" s="36">
        <f>IF(D109="","",D109/5100000)</f>
        <v/>
      </c>
      <c r="F109" s="35" t="n">
        <v>205</v>
      </c>
      <c r="G109" s="35" t="n">
        <v>5128134</v>
      </c>
      <c r="H109" s="35" t="n">
        <v>120017</v>
      </c>
      <c r="I109" s="34" t="n">
        <v>50.72</v>
      </c>
      <c r="J109" s="34" t="inlineStr">
        <is>
          <t>Pass</t>
        </is>
      </c>
      <c r="K109" s="34" t="inlineStr">
        <is>
          <t>mcr-1.1</t>
        </is>
      </c>
      <c r="L109" s="34" t="inlineStr">
        <is>
          <t>mcr-1.1</t>
        </is>
      </c>
      <c r="M109" s="34" t="inlineStr">
        <is>
          <t>ALLELEX</t>
        </is>
      </c>
      <c r="N109" s="34" t="inlineStr">
        <is>
          <t>100.00</t>
        </is>
      </c>
      <c r="O109" s="34" t="inlineStr">
        <is>
          <t>100.00</t>
        </is>
      </c>
      <c r="P109" s="34" t="inlineStr">
        <is>
          <t>contig00040</t>
        </is>
      </c>
      <c r="Q109" s="34" t="inlineStr">
        <is>
          <t>mcr-1.1</t>
        </is>
      </c>
      <c r="R109" s="34" t="inlineStr">
        <is>
          <t>mcr-1.1_1</t>
        </is>
      </c>
      <c r="S109" s="34" t="inlineStr">
        <is>
          <t>IncX4_1</t>
        </is>
      </c>
      <c r="T109" s="34" t="n"/>
      <c r="U109" s="34" t="n"/>
      <c r="V109" s="34" t="n"/>
      <c r="W109" s="35" t="n"/>
      <c r="X109" s="34" t="inlineStr">
        <is>
          <t>2016</t>
        </is>
      </c>
      <c r="Y109" s="34" t="inlineStr">
        <is>
          <t>adk(6) fumC(23) gyrB(32) icd(88) mdh(9) purA(26) recA(7)</t>
        </is>
      </c>
      <c r="Z109" s="34" t="inlineStr">
        <is>
          <t>IncFIA_1, IncFIB(AP001918)_1, IncFII(pRSB107)_1_pRSB107, IncR_1, IncX4_1</t>
        </is>
      </c>
    </row>
    <row r="110" ht="15" customHeight="1" s="20">
      <c r="A110" s="34" t="inlineStr">
        <is>
          <t>SAMN06909729</t>
        </is>
      </c>
      <c r="B110" s="34" t="inlineStr">
        <is>
          <t>SRR5688554</t>
        </is>
      </c>
      <c r="C110" s="34" t="inlineStr">
        <is>
          <t>A (reads, Shovill)</t>
        </is>
      </c>
      <c r="D110" s="35" t="n">
        <v>312743342</v>
      </c>
      <c r="E110" s="36">
        <f>IF(D110="","",D110/5100000)</f>
        <v/>
      </c>
      <c r="F110" s="35" t="n">
        <v>108</v>
      </c>
      <c r="G110" s="35" t="n">
        <v>5243135</v>
      </c>
      <c r="H110" s="35" t="n">
        <v>282708</v>
      </c>
      <c r="I110" s="34" t="n">
        <v>50.32</v>
      </c>
      <c r="J110" s="34" t="inlineStr">
        <is>
          <t>Pass</t>
        </is>
      </c>
      <c r="K110" s="34" t="inlineStr">
        <is>
          <t>mcr-1.1</t>
        </is>
      </c>
      <c r="L110" s="34" t="inlineStr">
        <is>
          <t>mcr-1.1</t>
        </is>
      </c>
      <c r="M110" s="34" t="inlineStr">
        <is>
          <t>ALLELEX</t>
        </is>
      </c>
      <c r="N110" s="34" t="inlineStr">
        <is>
          <t>100.00</t>
        </is>
      </c>
      <c r="O110" s="34" t="inlineStr">
        <is>
          <t>100.00</t>
        </is>
      </c>
      <c r="P110" s="34" t="inlineStr">
        <is>
          <t>contig00020</t>
        </is>
      </c>
      <c r="Q110" s="34" t="inlineStr">
        <is>
          <t>mcr-1.1</t>
        </is>
      </c>
      <c r="R110" s="34" t="inlineStr">
        <is>
          <t>mcr-1.1_1</t>
        </is>
      </c>
      <c r="S110" s="34" t="inlineStr">
        <is>
          <t>none</t>
        </is>
      </c>
      <c r="T110" s="34" t="inlineStr">
        <is>
          <t>plasmid</t>
        </is>
      </c>
      <c r="U110" s="34" t="inlineStr">
        <is>
          <t>IncHI2A,rep_cluster_1088</t>
        </is>
      </c>
      <c r="V110" s="34" t="inlineStr">
        <is>
          <t>MOBH</t>
        </is>
      </c>
      <c r="W110" s="35" t="n">
        <v>220335</v>
      </c>
      <c r="X110" s="34" t="inlineStr">
        <is>
          <t>1485</t>
        </is>
      </c>
      <c r="Y110" s="34" t="inlineStr">
        <is>
          <t>adk(92) fumC(231) gyrB(87) icd(96) mdh(70) purA(58) recA(2)</t>
        </is>
      </c>
      <c r="Z110" s="34" t="inlineStr">
        <is>
          <t>IncFIA_1, IncFIB(AP001918)_1, IncFIC(FII)_1, IncHI2A_1, IncHI2_1</t>
        </is>
      </c>
    </row>
    <row r="111" ht="15" customHeight="1" s="20">
      <c r="A111" s="34" t="inlineStr">
        <is>
          <t>SAMN06909728</t>
        </is>
      </c>
      <c r="B111" s="34" t="inlineStr">
        <is>
          <t>SRR5688556</t>
        </is>
      </c>
      <c r="C111" s="34" t="inlineStr">
        <is>
          <t>A (reads, Shovill)</t>
        </is>
      </c>
      <c r="D111" s="35" t="n">
        <v>204489457</v>
      </c>
      <c r="E111" s="36">
        <f>IF(D111="","",D111/5100000)</f>
        <v/>
      </c>
      <c r="F111" s="35" t="n">
        <v>161</v>
      </c>
      <c r="G111" s="35" t="n">
        <v>4957293</v>
      </c>
      <c r="H111" s="35" t="n">
        <v>196031</v>
      </c>
      <c r="I111" s="34" t="n">
        <v>50.32</v>
      </c>
      <c r="J111" s="34" t="inlineStr">
        <is>
          <t>Pass</t>
        </is>
      </c>
      <c r="K111" s="34" t="inlineStr">
        <is>
          <t>mcr-1.1</t>
        </is>
      </c>
      <c r="L111" s="34" t="inlineStr">
        <is>
          <t>mcr-1.1</t>
        </is>
      </c>
      <c r="M111" s="34" t="inlineStr">
        <is>
          <t>ALLELEX</t>
        </is>
      </c>
      <c r="N111" s="34" t="inlineStr">
        <is>
          <t>100.00</t>
        </is>
      </c>
      <c r="O111" s="34" t="inlineStr">
        <is>
          <t>100.00</t>
        </is>
      </c>
      <c r="P111" s="34" t="inlineStr">
        <is>
          <t>contig00019</t>
        </is>
      </c>
      <c r="Q111" s="34" t="inlineStr">
        <is>
          <t>mcr-1.1</t>
        </is>
      </c>
      <c r="R111" s="34" t="inlineStr">
        <is>
          <t>mcr-1.1_1</t>
        </is>
      </c>
      <c r="S111" s="34" t="inlineStr">
        <is>
          <t>none</t>
        </is>
      </c>
      <c r="T111" s="34" t="inlineStr">
        <is>
          <t>plasmid</t>
        </is>
      </c>
      <c r="U111" s="34" t="inlineStr">
        <is>
          <t>rep_cluster_1088,IncHI2A,IncQ1</t>
        </is>
      </c>
      <c r="V111" s="34" t="inlineStr">
        <is>
          <t>MOBH</t>
        </is>
      </c>
      <c r="W111" s="35" t="n">
        <v>259922</v>
      </c>
      <c r="X111" s="34" t="inlineStr">
        <is>
          <t>10</t>
        </is>
      </c>
      <c r="Y111" s="34" t="inlineStr">
        <is>
          <t>adk(10) fumC(11) gyrB(4) icd(8) mdh(8) purA(8) recA(2)</t>
        </is>
      </c>
      <c r="Z111" s="34" t="inlineStr">
        <is>
          <t>IncHI2A_1, IncHI2_1, IncQ1_1, p0111_1</t>
        </is>
      </c>
    </row>
    <row r="112" ht="15" customHeight="1" s="20">
      <c r="A112" s="34" t="inlineStr">
        <is>
          <t>SAMN10986378</t>
        </is>
      </c>
      <c r="B112" s="34" t="inlineStr">
        <is>
          <t>SRR8610355</t>
        </is>
      </c>
      <c r="C112" s="34" t="inlineStr">
        <is>
          <t>A (reads, Shovill)</t>
        </is>
      </c>
      <c r="D112" s="35" t="n">
        <v>3588366071</v>
      </c>
      <c r="E112" s="36">
        <f>IF(D112="","",D112/5100000)</f>
        <v/>
      </c>
      <c r="F112" s="35" t="n">
        <v>111</v>
      </c>
      <c r="G112" s="35" t="n">
        <v>4624047</v>
      </c>
      <c r="H112" s="35" t="n">
        <v>162333</v>
      </c>
      <c r="I112" s="34" t="n">
        <v>50.62</v>
      </c>
      <c r="J112" s="34" t="inlineStr">
        <is>
          <t>Pass</t>
        </is>
      </c>
      <c r="K112" s="34" t="inlineStr">
        <is>
          <t>mcr-1.1</t>
        </is>
      </c>
      <c r="L112" s="34" t="inlineStr">
        <is>
          <t>mcr-1.1</t>
        </is>
      </c>
      <c r="M112" s="34" t="inlineStr">
        <is>
          <t>ALLELEX</t>
        </is>
      </c>
      <c r="N112" s="34" t="inlineStr">
        <is>
          <t>100.00</t>
        </is>
      </c>
      <c r="O112" s="34" t="inlineStr">
        <is>
          <t>100.00</t>
        </is>
      </c>
      <c r="P112" s="34" t="inlineStr">
        <is>
          <t>contig00038</t>
        </is>
      </c>
      <c r="Q112" s="34" t="inlineStr">
        <is>
          <t>mcr-1.1</t>
        </is>
      </c>
      <c r="R112" s="34" t="inlineStr">
        <is>
          <t>mcr-1.1_1</t>
        </is>
      </c>
      <c r="S112" s="34" t="inlineStr">
        <is>
          <t>IncX4_1</t>
        </is>
      </c>
      <c r="T112" s="34" t="n"/>
      <c r="U112" s="34" t="n"/>
      <c r="V112" s="34" t="n"/>
      <c r="W112" s="35" t="n"/>
      <c r="X112" s="34" t="inlineStr">
        <is>
          <t>46</t>
        </is>
      </c>
      <c r="Y112" s="34" t="inlineStr">
        <is>
          <t>adk(8) fumC(7) gyrB(1) icd(8) mdh(8) purA(8) recA(6)</t>
        </is>
      </c>
      <c r="Z112" s="34" t="inlineStr">
        <is>
          <t>IncFIB(AP001918)_1, IncFII(pCoo)_1_pCoo, IncX4_1</t>
        </is>
      </c>
    </row>
    <row r="113" ht="15" customHeight="1" s="20">
      <c r="A113" s="34" t="inlineStr">
        <is>
          <t>SAMN10986384</t>
        </is>
      </c>
      <c r="B113" s="34" t="inlineStr">
        <is>
          <t>SRR8610343</t>
        </is>
      </c>
      <c r="C113" s="34" t="inlineStr">
        <is>
          <t>A (reads, Shovill)</t>
        </is>
      </c>
      <c r="D113" s="35" t="n">
        <v>2535057269</v>
      </c>
      <c r="E113" s="36">
        <f>IF(D113="","",D113/5100000)</f>
        <v/>
      </c>
      <c r="F113" s="35" t="n">
        <v>117</v>
      </c>
      <c r="G113" s="35" t="n">
        <v>4624175</v>
      </c>
      <c r="H113" s="35" t="n">
        <v>133473</v>
      </c>
      <c r="I113" s="34" t="n">
        <v>50.62</v>
      </c>
      <c r="J113" s="34" t="inlineStr">
        <is>
          <t>Pass</t>
        </is>
      </c>
      <c r="K113" s="34" t="inlineStr">
        <is>
          <t>mcr-1.1</t>
        </is>
      </c>
      <c r="L113" s="34" t="inlineStr">
        <is>
          <t>mcr-1.1</t>
        </is>
      </c>
      <c r="M113" s="34" t="inlineStr">
        <is>
          <t>ALLELEX</t>
        </is>
      </c>
      <c r="N113" s="34" t="inlineStr">
        <is>
          <t>100.00</t>
        </is>
      </c>
      <c r="O113" s="34" t="inlineStr">
        <is>
          <t>100.00</t>
        </is>
      </c>
      <c r="P113" s="34" t="inlineStr">
        <is>
          <t>contig00039</t>
        </is>
      </c>
      <c r="Q113" s="34" t="inlineStr">
        <is>
          <t>mcr-1.1</t>
        </is>
      </c>
      <c r="R113" s="34" t="inlineStr">
        <is>
          <t>mcr-1.1_1</t>
        </is>
      </c>
      <c r="S113" s="34" t="inlineStr">
        <is>
          <t>IncX4_1</t>
        </is>
      </c>
      <c r="T113" s="34" t="n"/>
      <c r="U113" s="34" t="n"/>
      <c r="V113" s="34" t="n"/>
      <c r="W113" s="35" t="n"/>
      <c r="X113" s="34" t="inlineStr">
        <is>
          <t>46</t>
        </is>
      </c>
      <c r="Y113" s="34" t="inlineStr">
        <is>
          <t>adk(8) fumC(7) gyrB(1) icd(8) mdh(8) purA(8) recA(6)</t>
        </is>
      </c>
      <c r="Z113" s="34" t="inlineStr">
        <is>
          <t>IncFIB(AP001918)_1, IncFII(pCoo)_1_pCoo, IncX4_1</t>
        </is>
      </c>
    </row>
    <row r="114" ht="15" customHeight="1" s="20">
      <c r="A114" s="34" t="inlineStr">
        <is>
          <t>SAMN10986379</t>
        </is>
      </c>
      <c r="B114" s="34" t="inlineStr">
        <is>
          <t>SRR8610327</t>
        </is>
      </c>
      <c r="C114" s="34" t="inlineStr">
        <is>
          <t>A (reads, Shovill)</t>
        </is>
      </c>
      <c r="D114" s="35" t="n">
        <v>3180220940</v>
      </c>
      <c r="E114" s="36">
        <f>IF(D114="","",D114/5100000)</f>
        <v/>
      </c>
      <c r="F114" s="35" t="n">
        <v>113</v>
      </c>
      <c r="G114" s="35" t="n">
        <v>4623203</v>
      </c>
      <c r="H114" s="35" t="n">
        <v>150319</v>
      </c>
      <c r="I114" s="34" t="n">
        <v>50.62</v>
      </c>
      <c r="J114" s="34" t="inlineStr">
        <is>
          <t>Pass</t>
        </is>
      </c>
      <c r="K114" s="34" t="inlineStr">
        <is>
          <t>mcr-1.1</t>
        </is>
      </c>
      <c r="L114" s="34" t="inlineStr">
        <is>
          <t>mcr-1.1</t>
        </is>
      </c>
      <c r="M114" s="34" t="inlineStr">
        <is>
          <t>ALLELEX</t>
        </is>
      </c>
      <c r="N114" s="34" t="inlineStr">
        <is>
          <t>100.00</t>
        </is>
      </c>
      <c r="O114" s="34" t="inlineStr">
        <is>
          <t>100.00</t>
        </is>
      </c>
      <c r="P114" s="34" t="inlineStr">
        <is>
          <t>contig00036</t>
        </is>
      </c>
      <c r="Q114" s="34" t="inlineStr">
        <is>
          <t>mcr-1.1</t>
        </is>
      </c>
      <c r="R114" s="34" t="inlineStr">
        <is>
          <t>mcr-1.1_1</t>
        </is>
      </c>
      <c r="S114" s="34" t="inlineStr">
        <is>
          <t>IncX4_1</t>
        </is>
      </c>
      <c r="T114" s="34" t="n"/>
      <c r="U114" s="34" t="n"/>
      <c r="V114" s="34" t="n"/>
      <c r="W114" s="35" t="n"/>
      <c r="X114" s="34" t="inlineStr">
        <is>
          <t>46</t>
        </is>
      </c>
      <c r="Y114" s="34" t="inlineStr">
        <is>
          <t>adk(8) fumC(7) gyrB(1) icd(8) mdh(8) purA(8) recA(6)</t>
        </is>
      </c>
      <c r="Z114" s="34" t="inlineStr">
        <is>
          <t>IncFIB(AP001918)_1, IncFII(pCoo)_1_pCoo, IncX4_1</t>
        </is>
      </c>
    </row>
    <row r="115" ht="15" customHeight="1" s="20">
      <c r="A115" s="34" t="inlineStr">
        <is>
          <t>SAMN11553647</t>
        </is>
      </c>
      <c r="B115" s="34" t="inlineStr">
        <is>
          <t>SRR9099603</t>
        </is>
      </c>
      <c r="C115" s="34" t="inlineStr">
        <is>
          <t>A (reads, Shovill)</t>
        </is>
      </c>
      <c r="D115" s="35" t="n">
        <v>179694429</v>
      </c>
      <c r="E115" s="36">
        <f>IF(D115="","",D115/5100000)</f>
        <v/>
      </c>
      <c r="F115" s="35" t="n">
        <v>112</v>
      </c>
      <c r="G115" s="35" t="n">
        <v>4979019</v>
      </c>
      <c r="H115" s="35" t="n">
        <v>184463</v>
      </c>
      <c r="I115" s="34" t="n">
        <v>50.57</v>
      </c>
      <c r="J115" s="34" t="inlineStr">
        <is>
          <t>Pass</t>
        </is>
      </c>
      <c r="K115" s="34" t="inlineStr">
        <is>
          <t>mcr-1.5</t>
        </is>
      </c>
      <c r="L115" s="34" t="inlineStr">
        <is>
          <t>mcr-1.5</t>
        </is>
      </c>
      <c r="M115" s="34" t="inlineStr">
        <is>
          <t>ALLELEX</t>
        </is>
      </c>
      <c r="N115" s="34" t="inlineStr">
        <is>
          <t>100.00</t>
        </is>
      </c>
      <c r="O115" s="34" t="inlineStr">
        <is>
          <t>100.00</t>
        </is>
      </c>
      <c r="P115" s="34" t="inlineStr">
        <is>
          <t>contig00058</t>
        </is>
      </c>
      <c r="Q115" s="34" t="inlineStr">
        <is>
          <t>mcr-1.5</t>
        </is>
      </c>
      <c r="R115" s="34" t="inlineStr">
        <is>
          <t>mcr-1.5_1</t>
        </is>
      </c>
      <c r="S115" s="34" t="inlineStr">
        <is>
          <t>none</t>
        </is>
      </c>
      <c r="T115" s="34" t="inlineStr">
        <is>
          <t>plasmid</t>
        </is>
      </c>
      <c r="U115" s="34" t="inlineStr">
        <is>
          <t>IncI2</t>
        </is>
      </c>
      <c r="V115" s="34" t="inlineStr">
        <is>
          <t>MOBP</t>
        </is>
      </c>
      <c r="W115" s="35" t="n">
        <v>64020</v>
      </c>
      <c r="X115" s="34" t="inlineStr">
        <is>
          <t>9567</t>
        </is>
      </c>
      <c r="Y115" s="34" t="inlineStr">
        <is>
          <t>adk(6) fumC(4) gyrB(12) icd(1106) mdh(20) purA(13) recA(7)</t>
        </is>
      </c>
      <c r="Z115" s="34" t="inlineStr">
        <is>
          <t>Col156_1, IncFIB(AP001918)_1, IncI2_1</t>
        </is>
      </c>
    </row>
    <row r="116" ht="15" customHeight="1" s="20">
      <c r="A116" s="34" t="inlineStr">
        <is>
          <t>SAMN11553648</t>
        </is>
      </c>
      <c r="B116" s="34" t="inlineStr">
        <is>
          <t>GCA_006348965.1</t>
        </is>
      </c>
      <c r="C116" s="34" t="inlineStr">
        <is>
          <t>B (GenBank assembly; reads SRR9099604 failed depth QC)</t>
        </is>
      </c>
      <c r="D116" s="35" t="n">
        <v>150958013</v>
      </c>
      <c r="E116" s="36">
        <f>IF(D116="","",D116/5100000)</f>
        <v/>
      </c>
      <c r="F116" s="35" t="n">
        <v>197</v>
      </c>
      <c r="G116" s="35" t="n">
        <v>5161371</v>
      </c>
      <c r="H116" s="35" t="n">
        <v>108253</v>
      </c>
      <c r="I116" s="34" t="n">
        <v>50.3</v>
      </c>
      <c r="J116" s="34" t="inlineStr">
        <is>
          <t>Pass</t>
        </is>
      </c>
      <c r="K116" s="34" t="inlineStr">
        <is>
          <t>mcr-1.1</t>
        </is>
      </c>
      <c r="L116" s="34" t="inlineStr">
        <is>
          <t>mcr-1.1</t>
        </is>
      </c>
      <c r="M116" s="34" t="inlineStr">
        <is>
          <t>ALLELEX</t>
        </is>
      </c>
      <c r="N116" s="34" t="inlineStr">
        <is>
          <t>100.00</t>
        </is>
      </c>
      <c r="O116" s="34" t="inlineStr">
        <is>
          <t>100.00</t>
        </is>
      </c>
      <c r="P116" s="34" t="inlineStr">
        <is>
          <t>VAUC01000036.1</t>
        </is>
      </c>
      <c r="Q116" s="34" t="inlineStr">
        <is>
          <t>not run</t>
        </is>
      </c>
      <c r="R116" s="34" t="inlineStr">
        <is>
          <t>not run</t>
        </is>
      </c>
      <c r="S116" s="34" t="inlineStr">
        <is>
          <t>none</t>
        </is>
      </c>
      <c r="T116" s="34" t="inlineStr">
        <is>
          <t>plasmid</t>
        </is>
      </c>
      <c r="U116" s="34" t="inlineStr">
        <is>
          <t>IncHI2A,rep_cluster_1088,IncI2,IncI-gamma/K1</t>
        </is>
      </c>
      <c r="V116" s="34" t="inlineStr">
        <is>
          <t>MOBP,MOBH</t>
        </is>
      </c>
      <c r="W116" s="35" t="n">
        <v>381002</v>
      </c>
      <c r="X116" s="34" t="inlineStr">
        <is>
          <t>155</t>
        </is>
      </c>
      <c r="Y116" s="34" t="inlineStr">
        <is>
          <t>adk(6) fumC(4) gyrB(14) icd(16) mdh(24) purA(8) recA(14)</t>
        </is>
      </c>
      <c r="Z116" s="34" t="inlineStr">
        <is>
          <t>IncFII(pEH01)_1, IncHI2A_1, IncHI2_1, IncI1_1_Alpha, IncI2_1, IncX1_1, p0111_1</t>
        </is>
      </c>
    </row>
    <row r="117" ht="15" customHeight="1" s="20">
      <c r="A117" s="34" t="inlineStr">
        <is>
          <t>SAMN11388480</t>
        </is>
      </c>
      <c r="B117" s="34" t="inlineStr">
        <is>
          <t>SRR8885624</t>
        </is>
      </c>
      <c r="C117" s="34" t="inlineStr">
        <is>
          <t>A (reads, Shovill)</t>
        </is>
      </c>
      <c r="D117" s="35" t="n">
        <v>1162839238</v>
      </c>
      <c r="E117" s="36">
        <f>IF(D117="","",D117/5100000)</f>
        <v/>
      </c>
      <c r="F117" s="35" t="n">
        <v>162</v>
      </c>
      <c r="G117" s="35" t="n">
        <v>5178132</v>
      </c>
      <c r="H117" s="35" t="n">
        <v>191583</v>
      </c>
      <c r="I117" s="34" t="n">
        <v>50.29</v>
      </c>
      <c r="J117" s="34" t="inlineStr">
        <is>
          <t>Pass</t>
        </is>
      </c>
      <c r="K117" s="34" t="inlineStr">
        <is>
          <t>mcr-9.2</t>
        </is>
      </c>
      <c r="L117" s="34" t="inlineStr">
        <is>
          <t>mcr-9.2</t>
        </is>
      </c>
      <c r="M117" s="34" t="inlineStr">
        <is>
          <t>ALLELEX</t>
        </is>
      </c>
      <c r="N117" s="34" t="inlineStr">
        <is>
          <t>100.00</t>
        </is>
      </c>
      <c r="O117" s="34" t="inlineStr">
        <is>
          <t>100.00</t>
        </is>
      </c>
      <c r="P117" s="34" t="inlineStr">
        <is>
          <t>contig00042</t>
        </is>
      </c>
      <c r="Q117" s="34" t="inlineStr">
        <is>
          <t>none</t>
        </is>
      </c>
      <c r="R117" s="34" t="inlineStr">
        <is>
          <t>mcr-9.2_1</t>
        </is>
      </c>
      <c r="S117" s="34" t="inlineStr">
        <is>
          <t>none</t>
        </is>
      </c>
      <c r="T117" s="34" t="inlineStr">
        <is>
          <t>plasmid</t>
        </is>
      </c>
      <c r="U117" s="34" t="inlineStr">
        <is>
          <t>IncFII,IncFIB,IncFIA,IncFII</t>
        </is>
      </c>
      <c r="V117" s="34" t="inlineStr">
        <is>
          <t>-</t>
        </is>
      </c>
      <c r="W117" s="35" t="n">
        <v>70096</v>
      </c>
      <c r="X117" s="34" t="inlineStr">
        <is>
          <t>410</t>
        </is>
      </c>
      <c r="Y117" s="34" t="inlineStr">
        <is>
          <t>adk(6) fumC(4) gyrB(12) icd(1) mdh(20) purA(18) recA(7)</t>
        </is>
      </c>
      <c r="Z117" s="34" t="inlineStr">
        <is>
          <t>IncFIA_1, IncFIB(AP001918)_1, IncFII(pAMA1167-NDM-5)_1_pAMA1167-NDM-5, IncHI2A_1, IncHI2_1, IncQ1_1, p0111_1</t>
        </is>
      </c>
    </row>
    <row r="118" ht="15" customHeight="1" s="20">
      <c r="A118" s="34" t="inlineStr">
        <is>
          <t>SAMN10986381</t>
        </is>
      </c>
      <c r="B118" s="34" t="inlineStr">
        <is>
          <t>SRR8610346</t>
        </is>
      </c>
      <c r="C118" s="34" t="inlineStr">
        <is>
          <t>A (reads, Shovill)</t>
        </is>
      </c>
      <c r="D118" s="35" t="n">
        <v>3783837984</v>
      </c>
      <c r="E118" s="36">
        <f>IF(D118="","",D118/5100000)</f>
        <v/>
      </c>
      <c r="F118" s="35" t="n">
        <v>115</v>
      </c>
      <c r="G118" s="35" t="n">
        <v>4623593</v>
      </c>
      <c r="H118" s="35" t="n">
        <v>162333</v>
      </c>
      <c r="I118" s="34" t="n">
        <v>50.62</v>
      </c>
      <c r="J118" s="34" t="inlineStr">
        <is>
          <t>Pass</t>
        </is>
      </c>
      <c r="K118" s="34" t="inlineStr">
        <is>
          <t>mcr-1.1</t>
        </is>
      </c>
      <c r="L118" s="34" t="inlineStr">
        <is>
          <t>mcr-1.1</t>
        </is>
      </c>
      <c r="M118" s="34" t="inlineStr">
        <is>
          <t>ALLELEX</t>
        </is>
      </c>
      <c r="N118" s="34" t="inlineStr">
        <is>
          <t>100.00</t>
        </is>
      </c>
      <c r="O118" s="34" t="inlineStr">
        <is>
          <t>100.00</t>
        </is>
      </c>
      <c r="P118" s="34" t="inlineStr">
        <is>
          <t>contig00038</t>
        </is>
      </c>
      <c r="Q118" s="34" t="inlineStr">
        <is>
          <t>mcr-1.1</t>
        </is>
      </c>
      <c r="R118" s="34" t="inlineStr">
        <is>
          <t>mcr-1.1_1</t>
        </is>
      </c>
      <c r="S118" s="34" t="inlineStr">
        <is>
          <t>IncX4_1</t>
        </is>
      </c>
      <c r="T118" s="34" t="n"/>
      <c r="U118" s="34" t="n"/>
      <c r="V118" s="34" t="n"/>
      <c r="W118" s="35" t="n"/>
      <c r="X118" s="34" t="inlineStr">
        <is>
          <t>46</t>
        </is>
      </c>
      <c r="Y118" s="34" t="inlineStr">
        <is>
          <t>adk(8) fumC(7) gyrB(1) icd(8) mdh(8) purA(8) recA(6)</t>
        </is>
      </c>
      <c r="Z118" s="34" t="inlineStr">
        <is>
          <t>IncFIB(AP001918)_1, IncFII(pCoo)_1_pCoo, IncX4_1</t>
        </is>
      </c>
    </row>
    <row r="119" ht="15" customHeight="1" s="20">
      <c r="A119" s="34" t="inlineStr">
        <is>
          <t>SAMN06928086</t>
        </is>
      </c>
      <c r="B119" s="34" t="inlineStr">
        <is>
          <t>SRR5688555</t>
        </is>
      </c>
      <c r="C119" s="34" t="inlineStr">
        <is>
          <t>A (reads, Shovill)</t>
        </is>
      </c>
      <c r="D119" s="35" t="n">
        <v>639807269</v>
      </c>
      <c r="E119" s="36">
        <f>IF(D119="","",D119/5100000)</f>
        <v/>
      </c>
      <c r="F119" s="35" t="n">
        <v>172</v>
      </c>
      <c r="G119" s="35" t="n">
        <v>5568009</v>
      </c>
      <c r="H119" s="35" t="n">
        <v>149534</v>
      </c>
      <c r="I119" s="34" t="n">
        <v>50.48</v>
      </c>
      <c r="J119" s="34" t="inlineStr">
        <is>
          <t>Pass</t>
        </is>
      </c>
      <c r="K119" s="34" t="inlineStr">
        <is>
          <t>mcr-1.1</t>
        </is>
      </c>
      <c r="L119" s="34" t="inlineStr">
        <is>
          <t>mcr-1.1</t>
        </is>
      </c>
      <c r="M119" s="34" t="inlineStr">
        <is>
          <t>ALLELEX</t>
        </is>
      </c>
      <c r="N119" s="34" t="inlineStr">
        <is>
          <t>100.00</t>
        </is>
      </c>
      <c r="O119" s="34" t="inlineStr">
        <is>
          <t>100.00</t>
        </is>
      </c>
      <c r="P119" s="34" t="inlineStr">
        <is>
          <t>contig00018</t>
        </is>
      </c>
      <c r="Q119" s="34" t="inlineStr">
        <is>
          <t>mcr-1.1</t>
        </is>
      </c>
      <c r="R119" s="34" t="inlineStr">
        <is>
          <t>mcr-1.1_1</t>
        </is>
      </c>
      <c r="S119" s="34" t="inlineStr">
        <is>
          <t>none</t>
        </is>
      </c>
      <c r="T119" s="34" t="inlineStr">
        <is>
          <t>plasmid</t>
        </is>
      </c>
      <c r="U119" s="34" t="inlineStr">
        <is>
          <t>rep_cluster_1088,IncHI2A,IncQ1</t>
        </is>
      </c>
      <c r="V119" s="34" t="inlineStr">
        <is>
          <t>MOBH,MOBP,MOBF,MOBF</t>
        </is>
      </c>
      <c r="W119" s="35" t="n">
        <v>270062</v>
      </c>
      <c r="X119" s="34" t="inlineStr">
        <is>
          <t>69</t>
        </is>
      </c>
      <c r="Y119" s="34" t="inlineStr">
        <is>
          <t>adk(21) fumC(35) gyrB(27) icd(6) mdh(5) purA(5) recA(4)</t>
        </is>
      </c>
      <c r="Z119" s="34" t="inlineStr">
        <is>
          <t>IncFIA_1, IncFIB(AP001918)_1, IncHI2A_1, IncHI2_1, IncQ1_1</t>
        </is>
      </c>
    </row>
    <row r="120">
      <c r="A120" s="19" t="inlineStr">
        <is>
          <t>SAMEA120683848</t>
        </is>
      </c>
      <c r="B120" s="19" t="inlineStr">
        <is>
          <t>GCA_977857845.1</t>
        </is>
      </c>
      <c r="C120" s="19" t="inlineStr">
        <is>
          <t>B (GenBank assembly)</t>
        </is>
      </c>
      <c r="F120" s="19" t="n">
        <v>127</v>
      </c>
      <c r="G120" s="19" t="n">
        <v>4775047</v>
      </c>
      <c r="H120" s="19" t="n">
        <v>94422</v>
      </c>
      <c r="I120" s="19" t="n">
        <v>50.54</v>
      </c>
      <c r="J120" s="19" t="inlineStr">
        <is>
          <t>PASS</t>
        </is>
      </c>
      <c r="K120" s="19" t="inlineStr">
        <is>
          <t>mcr-1.1</t>
        </is>
      </c>
      <c r="L120" s="19" t="inlineStr">
        <is>
          <t>mcr-1.1</t>
        </is>
      </c>
      <c r="M120" s="19" t="inlineStr">
        <is>
          <t>ALLELEX</t>
        </is>
      </c>
      <c r="N120" s="19" t="inlineStr">
        <is>
          <t>100.00</t>
        </is>
      </c>
      <c r="O120" s="19" t="inlineStr">
        <is>
          <t>100.00</t>
        </is>
      </c>
      <c r="P120" s="19" t="inlineStr">
        <is>
          <t>CDWHFB010000042.1</t>
        </is>
      </c>
      <c r="Q120" s="19" t="inlineStr">
        <is>
          <t>mcr-1.1</t>
        </is>
      </c>
      <c r="R120" s="19" t="inlineStr">
        <is>
          <t>mcr-1.1_1</t>
        </is>
      </c>
      <c r="S120" s="19" t="inlineStr">
        <is>
          <t>IncX4_1</t>
        </is>
      </c>
      <c r="T120" s="19" t="inlineStr">
        <is>
          <t>plasmid</t>
        </is>
      </c>
      <c r="U120" s="19" t="inlineStr">
        <is>
          <t>IncX4</t>
        </is>
      </c>
      <c r="V120" s="19" t="inlineStr">
        <is>
          <t>MOBP</t>
        </is>
      </c>
      <c r="W120" s="19" t="n">
        <v>32730</v>
      </c>
      <c r="X120" s="19" t="n">
        <v>226</v>
      </c>
      <c r="Y120" s="19" t="inlineStr">
        <is>
          <t>adk(10) fumC(27) gyrB(5) icd(8) mdh(8) purA(7) recA(2)</t>
        </is>
      </c>
      <c r="Z120" s="19" t="inlineStr">
        <is>
          <t>ColpVC_1, IncFII_1, IncX1_1, IncX4_1, p0111_1</t>
        </is>
      </c>
    </row>
    <row r="121">
      <c r="A121" s="19" t="inlineStr">
        <is>
          <t>SAMEA120683850</t>
        </is>
      </c>
      <c r="B121" s="19" t="inlineStr">
        <is>
          <t>GCA_977859995.1</t>
        </is>
      </c>
      <c r="C121" s="19" t="inlineStr">
        <is>
          <t>B (GenBank assembly)</t>
        </is>
      </c>
      <c r="F121" s="19" t="n">
        <v>360</v>
      </c>
      <c r="G121" s="19" t="n">
        <v>5508014</v>
      </c>
      <c r="H121" s="19" t="n">
        <v>72378</v>
      </c>
      <c r="I121" s="19" t="n">
        <v>50.35</v>
      </c>
      <c r="J121" s="19" t="inlineStr">
        <is>
          <t>PASS</t>
        </is>
      </c>
      <c r="K121" s="19" t="inlineStr">
        <is>
          <t>mcr-1.1</t>
        </is>
      </c>
      <c r="L121" s="19" t="inlineStr">
        <is>
          <t>mcr-1.1</t>
        </is>
      </c>
      <c r="M121" s="19" t="inlineStr">
        <is>
          <t>ALLELEX</t>
        </is>
      </c>
      <c r="N121" s="19" t="inlineStr">
        <is>
          <t>100.00</t>
        </is>
      </c>
      <c r="O121" s="19" t="inlineStr">
        <is>
          <t>100.00</t>
        </is>
      </c>
      <c r="P121" s="19" t="inlineStr">
        <is>
          <t>CDWHOZ010000048.1</t>
        </is>
      </c>
      <c r="Q121" s="19" t="inlineStr">
        <is>
          <t>mcr-1.1</t>
        </is>
      </c>
      <c r="R121" s="19" t="inlineStr">
        <is>
          <t>mcr-1.1_1</t>
        </is>
      </c>
      <c r="S121" s="19" t="inlineStr">
        <is>
          <t>IncX4_1</t>
        </is>
      </c>
      <c r="T121" s="19" t="inlineStr">
        <is>
          <t>plasmid</t>
        </is>
      </c>
      <c r="U121" s="19" t="inlineStr">
        <is>
          <t>IncX4</t>
        </is>
      </c>
      <c r="V121" s="19" t="inlineStr">
        <is>
          <t>MOBP</t>
        </is>
      </c>
      <c r="W121" s="19" t="n">
        <v>32686</v>
      </c>
      <c r="X121" s="19" t="n">
        <v>226</v>
      </c>
      <c r="Y121" s="19" t="inlineStr">
        <is>
          <t>adk(10) fumC(27) gyrB(5) icd(8) mdh(8) purA(7) recA(2)</t>
        </is>
      </c>
      <c r="Z121" s="19" t="inlineStr">
        <is>
          <t>Col(BS512)_1, ColpVC_1, IncFIA_1, IncFIB(AP001918)_1, IncFII_1, IncX1_1, IncX4_1, p0111_1</t>
        </is>
      </c>
    </row>
    <row r="122">
      <c r="A122" s="19" t="inlineStr">
        <is>
          <t>SAMEA5988742</t>
        </is>
      </c>
      <c r="B122" s="19" t="inlineStr">
        <is>
          <t>GCA_902703155.1</t>
        </is>
      </c>
      <c r="C122" s="19" t="inlineStr">
        <is>
          <t>B (GenBank assembly)</t>
        </is>
      </c>
      <c r="F122" s="19" t="n">
        <v>107</v>
      </c>
      <c r="G122" s="19" t="n">
        <v>5289460</v>
      </c>
      <c r="H122" s="19" t="n">
        <v>204049</v>
      </c>
      <c r="I122" s="19" t="n">
        <v>50.53</v>
      </c>
      <c r="J122" s="19" t="inlineStr">
        <is>
          <t>PASS</t>
        </is>
      </c>
      <c r="K122" s="19" t="inlineStr">
        <is>
          <t>mcr-1.1</t>
        </is>
      </c>
      <c r="L122" s="19" t="inlineStr">
        <is>
          <t>mcr-1.1</t>
        </is>
      </c>
      <c r="M122" s="19" t="inlineStr">
        <is>
          <t>ALLELEX</t>
        </is>
      </c>
      <c r="N122" s="19" t="inlineStr">
        <is>
          <t>100.00</t>
        </is>
      </c>
      <c r="O122" s="19" t="inlineStr">
        <is>
          <t>100.00</t>
        </is>
      </c>
      <c r="P122" s="19" t="inlineStr">
        <is>
          <t>CACRYI010000026.1</t>
        </is>
      </c>
      <c r="Q122" s="19" t="inlineStr">
        <is>
          <t>mcr-1.1</t>
        </is>
      </c>
      <c r="R122" s="19" t="inlineStr">
        <is>
          <t>mcr-1.1_1</t>
        </is>
      </c>
      <c r="S122" s="19" t="inlineStr">
        <is>
          <t>IncI2_1_Delta</t>
        </is>
      </c>
      <c r="T122" s="19" t="inlineStr">
        <is>
          <t>plasmid</t>
        </is>
      </c>
      <c r="U122" s="19" t="inlineStr">
        <is>
          <t>IncI2</t>
        </is>
      </c>
      <c r="V122" s="19" t="inlineStr">
        <is>
          <t>MOBP</t>
        </is>
      </c>
      <c r="W122" s="19" t="n">
        <v>62892</v>
      </c>
      <c r="X122" s="19" t="n">
        <v>602</v>
      </c>
      <c r="Y122" s="19" t="inlineStr">
        <is>
          <t>adk(6) fumC(19) gyrB(33) icd(26) mdh(11) purA(8) recA(6)</t>
        </is>
      </c>
      <c r="Z122" s="19" t="inlineStr">
        <is>
          <t>IncFIB(AP001918)_1, IncI1_1_Alpha, IncI2_1_Delta</t>
        </is>
      </c>
    </row>
    <row r="123">
      <c r="A123" s="19" t="inlineStr">
        <is>
          <t>SAMN09303237</t>
        </is>
      </c>
      <c r="B123" s="19" t="inlineStr">
        <is>
          <t>GCA_003795445.1</t>
        </is>
      </c>
      <c r="C123" s="19" t="inlineStr">
        <is>
          <t>B (GenBank assembly)</t>
        </is>
      </c>
      <c r="F123" s="19" t="n">
        <v>242</v>
      </c>
      <c r="G123" s="19" t="n">
        <v>4988197</v>
      </c>
      <c r="H123" s="19" t="n">
        <v>85550</v>
      </c>
      <c r="I123" s="19" t="n">
        <v>50.55</v>
      </c>
      <c r="J123" s="19" t="inlineStr">
        <is>
          <t>PASS</t>
        </is>
      </c>
      <c r="K123" s="19" t="inlineStr">
        <is>
          <t>mcr-1.1</t>
        </is>
      </c>
      <c r="L123" s="19" t="inlineStr">
        <is>
          <t>mcr-1.1</t>
        </is>
      </c>
      <c r="M123" s="19" t="inlineStr">
        <is>
          <t>ALLELEX</t>
        </is>
      </c>
      <c r="N123" s="19" t="inlineStr">
        <is>
          <t>100.00</t>
        </is>
      </c>
      <c r="O123" s="19" t="inlineStr">
        <is>
          <t>100.00</t>
        </is>
      </c>
      <c r="P123" s="19" t="inlineStr">
        <is>
          <t>QJRZ01000018.1</t>
        </is>
      </c>
      <c r="Q123" s="19" t="inlineStr">
        <is>
          <t>mcr-1.1</t>
        </is>
      </c>
      <c r="R123" s="19" t="inlineStr">
        <is>
          <t>mcr-1.1_1</t>
        </is>
      </c>
      <c r="T123" s="19" t="inlineStr">
        <is>
          <t>plasmid</t>
        </is>
      </c>
      <c r="U123" s="19" t="inlineStr">
        <is>
          <t>IncHI2A, rep_cluster_1088</t>
        </is>
      </c>
      <c r="V123" s="19" t="inlineStr">
        <is>
          <t>MOBH</t>
        </is>
      </c>
      <c r="W123" s="19" t="n">
        <v>250002</v>
      </c>
      <c r="X123" s="19" t="n">
        <v>9440</v>
      </c>
      <c r="Y123" s="19" t="inlineStr">
        <is>
          <t>adk(10) fumC(11) gyrB(4) icd(8) mdh(8) purA(724) recA(2)</t>
        </is>
      </c>
      <c r="Z123" s="19" t="inlineStr">
        <is>
          <t>IncHI2A_1, IncHI2_1, IncN_1</t>
        </is>
      </c>
    </row>
    <row r="124">
      <c r="A124" s="19" t="inlineStr">
        <is>
          <t>SAMN14219481</t>
        </is>
      </c>
      <c r="B124" s="19" t="inlineStr">
        <is>
          <t>GCA_015208565.1</t>
        </is>
      </c>
      <c r="C124" s="19" t="inlineStr">
        <is>
          <t>B (GenBank assembly)</t>
        </is>
      </c>
      <c r="F124" s="19" t="n">
        <v>216</v>
      </c>
      <c r="G124" s="19" t="n">
        <v>5321899</v>
      </c>
      <c r="H124" s="19" t="n">
        <v>249887</v>
      </c>
      <c r="I124" s="19" t="n">
        <v>50.8</v>
      </c>
      <c r="J124" s="19" t="inlineStr">
        <is>
          <t>FAIL CheckM2 contamination 6.00% (&gt;5% threshold)</t>
        </is>
      </c>
      <c r="K124" s="19" t="inlineStr">
        <is>
          <t>mcr-9</t>
        </is>
      </c>
      <c r="L124" s="19" t="inlineStr">
        <is>
          <t>mcr-9</t>
        </is>
      </c>
      <c r="M124" s="19" t="inlineStr">
        <is>
          <t>BLASTX</t>
        </is>
      </c>
      <c r="N124" s="19" t="inlineStr">
        <is>
          <t>99.74</t>
        </is>
      </c>
      <c r="O124" s="19" t="inlineStr">
        <is>
          <t>99.21</t>
        </is>
      </c>
      <c r="P124" s="19" t="inlineStr">
        <is>
          <t>JAAOAA010000190.1</t>
        </is>
      </c>
      <c r="Q124" s="19" t="inlineStr">
        <is>
          <t>mcr-9</t>
        </is>
      </c>
      <c r="R124" s="19" t="inlineStr">
        <is>
          <t>mcr-9_1</t>
        </is>
      </c>
      <c r="T124" s="19" t="inlineStr">
        <is>
          <t>chromosome</t>
        </is>
      </c>
      <c r="X124" s="19" t="n">
        <v>69</v>
      </c>
      <c r="Y124" s="19" t="inlineStr">
        <is>
          <t>adk(21) fumC(35) gyrB(27) icd(6) mdh(5) purA(5) recA(4)</t>
        </is>
      </c>
      <c r="Z124" s="19" t="inlineStr">
        <is>
          <t>IncFIA_1, IncFIB(AP001918)_1, IncFIC(FII)_1</t>
        </is>
      </c>
    </row>
    <row r="125">
      <c r="A125" s="19" t="inlineStr">
        <is>
          <t>SAMN28613555</t>
        </is>
      </c>
      <c r="B125" s="19" t="inlineStr">
        <is>
          <t>GCA_025336805.1</t>
        </is>
      </c>
      <c r="C125" s="19" t="inlineStr">
        <is>
          <t>B (GenBank assembly)</t>
        </is>
      </c>
      <c r="F125" s="19" t="n">
        <v>343</v>
      </c>
      <c r="G125" s="19" t="n">
        <v>5278367</v>
      </c>
      <c r="H125" s="19" t="n">
        <v>155237</v>
      </c>
      <c r="I125" s="19" t="n">
        <v>50.53</v>
      </c>
      <c r="J125" s="19" t="inlineStr">
        <is>
          <t>PASS</t>
        </is>
      </c>
      <c r="K125" s="19" t="inlineStr">
        <is>
          <t>mcr-1.1</t>
        </is>
      </c>
      <c r="L125" s="19" t="inlineStr">
        <is>
          <t>mcr-1.1</t>
        </is>
      </c>
      <c r="M125" s="19" t="inlineStr">
        <is>
          <t>ALLELEX</t>
        </is>
      </c>
      <c r="N125" s="19" t="inlineStr">
        <is>
          <t>100.00</t>
        </is>
      </c>
      <c r="O125" s="19" t="inlineStr">
        <is>
          <t>100.00</t>
        </is>
      </c>
      <c r="P125" s="19" t="inlineStr">
        <is>
          <t>JAODFU010000074.1</t>
        </is>
      </c>
      <c r="Q125" s="19" t="inlineStr">
        <is>
          <t>mcr-1.1</t>
        </is>
      </c>
      <c r="R125" s="19" t="inlineStr">
        <is>
          <t>mcr-1.1_1</t>
        </is>
      </c>
      <c r="T125" s="19" t="inlineStr">
        <is>
          <t>plasmid</t>
        </is>
      </c>
      <c r="W125" s="19" t="n">
        <v>27806</v>
      </c>
      <c r="X125" s="19" t="n">
        <v>69</v>
      </c>
      <c r="Y125" s="19" t="inlineStr">
        <is>
          <t>adk(21) fumC(35) gyrB(27) icd(6) mdh(5) purA(5) recA(4)</t>
        </is>
      </c>
      <c r="Z125" s="19" t="inlineStr">
        <is>
          <t>Col156_1, IncFII(29)_1, IncFII(pAMA1167-NDM-5)_1</t>
        </is>
      </c>
    </row>
    <row r="126">
      <c r="A126" s="19" t="inlineStr">
        <is>
          <t>SAMN28613556</t>
        </is>
      </c>
      <c r="B126" s="19" t="inlineStr">
        <is>
          <t>GCA_025336825.1</t>
        </is>
      </c>
      <c r="C126" s="19" t="inlineStr">
        <is>
          <t>B (GenBank assembly)</t>
        </is>
      </c>
      <c r="F126" s="19" t="n">
        <v>49</v>
      </c>
      <c r="G126" s="19" t="n">
        <v>5069550</v>
      </c>
      <c r="H126" s="19" t="n">
        <v>354723</v>
      </c>
      <c r="I126" s="19" t="n">
        <v>50.44</v>
      </c>
      <c r="J126" s="19" t="inlineStr">
        <is>
          <t>PASS</t>
        </is>
      </c>
      <c r="K126" s="19" t="inlineStr">
        <is>
          <t>mcr-1.1</t>
        </is>
      </c>
      <c r="L126" s="19" t="inlineStr">
        <is>
          <t>mcr-1.1</t>
        </is>
      </c>
      <c r="M126" s="19" t="inlineStr">
        <is>
          <t>ALLELEX</t>
        </is>
      </c>
      <c r="N126" s="19" t="inlineStr">
        <is>
          <t>100.00</t>
        </is>
      </c>
      <c r="O126" s="19" t="inlineStr">
        <is>
          <t>100.00</t>
        </is>
      </c>
      <c r="P126" s="19" t="inlineStr">
        <is>
          <t>JAODFT010000018.1</t>
        </is>
      </c>
      <c r="Q126" s="19" t="inlineStr">
        <is>
          <t>mcr-1.1</t>
        </is>
      </c>
      <c r="R126" s="19" t="inlineStr">
        <is>
          <t>mcr-1.1_1</t>
        </is>
      </c>
      <c r="S126" s="19" t="inlineStr">
        <is>
          <t>IncI2_1_Delta</t>
        </is>
      </c>
      <c r="T126" s="19" t="inlineStr">
        <is>
          <t>plasmid</t>
        </is>
      </c>
      <c r="U126" s="19" t="inlineStr">
        <is>
          <t>IncI2</t>
        </is>
      </c>
      <c r="V126" s="19" t="inlineStr">
        <is>
          <t>MOBP</t>
        </is>
      </c>
      <c r="W126" s="19" t="n">
        <v>68367</v>
      </c>
      <c r="X126" s="19" t="n">
        <v>101</v>
      </c>
      <c r="Y126" s="19" t="inlineStr">
        <is>
          <t>adk(43) fumC(41) gyrB(15) icd(18) mdh(11) purA(7) recA(6)</t>
        </is>
      </c>
      <c r="Z126" s="19" t="inlineStr">
        <is>
          <t>IncFIB(AP001918)_1, IncI2_1_Delta, IncQ1_1</t>
        </is>
      </c>
    </row>
    <row r="127">
      <c r="A127" s="19" t="inlineStr">
        <is>
          <t>SAMN36943049</t>
        </is>
      </c>
      <c r="B127" s="19" t="inlineStr">
        <is>
          <t>GCA_034465125.1</t>
        </is>
      </c>
      <c r="C127" s="19" t="inlineStr">
        <is>
          <t>A (SRA reads)</t>
        </is>
      </c>
      <c r="F127" s="19" t="n">
        <v>214</v>
      </c>
      <c r="G127" s="19" t="n">
        <v>5295826</v>
      </c>
      <c r="H127" s="19" t="n">
        <v>83445</v>
      </c>
      <c r="I127" s="19" t="n">
        <v>50.42</v>
      </c>
      <c r="J127" s="19" t="inlineStr">
        <is>
          <t>PASS</t>
        </is>
      </c>
      <c r="K127" s="19" t="inlineStr">
        <is>
          <t>mcr-1.1</t>
        </is>
      </c>
      <c r="L127" s="19" t="inlineStr">
        <is>
          <t>mcr-1.1</t>
        </is>
      </c>
      <c r="M127" s="19" t="inlineStr">
        <is>
          <t>ALLELEX</t>
        </is>
      </c>
      <c r="N127" s="19" t="inlineStr">
        <is>
          <t>100.00</t>
        </is>
      </c>
      <c r="O127" s="19" t="inlineStr">
        <is>
          <t>100.00</t>
        </is>
      </c>
      <c r="P127" s="19" t="inlineStr">
        <is>
          <t>DASMXT010000124.1 / DASMXT010000213.1</t>
        </is>
      </c>
      <c r="Q127" s="19" t="inlineStr">
        <is>
          <t>mcr-1.1</t>
        </is>
      </c>
      <c r="R127" s="19" t="inlineStr">
        <is>
          <t>mcr-1.1_1</t>
        </is>
      </c>
      <c r="T127" s="19" t="inlineStr">
        <is>
          <t>chromosome / plasmid</t>
        </is>
      </c>
      <c r="U127" s="19" t="inlineStr">
        <is>
          <t>IncFIB, IncHI2A, rep_cluster_1088</t>
        </is>
      </c>
      <c r="V127" s="19" t="inlineStr">
        <is>
          <t>MOBH</t>
        </is>
      </c>
      <c r="W127" s="19" t="n">
        <v>328273</v>
      </c>
      <c r="X127" s="19" t="n">
        <v>226</v>
      </c>
      <c r="Y127" s="19" t="inlineStr">
        <is>
          <t>adk(10) fumC(27) gyrB(5) icd(8) mdh(8) purA(7) recA(2)</t>
        </is>
      </c>
      <c r="Z127" s="19" t="inlineStr">
        <is>
          <t>IncFIB(AP001918)_1, IncFII(pCoo)_1, IncHI2A_1, IncHI2_1, IncI1_1_Alpha</t>
        </is>
      </c>
    </row>
    <row r="128">
      <c r="A128" s="19" t="inlineStr">
        <is>
          <t>SAMN49772998</t>
        </is>
      </c>
      <c r="B128" s="19" t="inlineStr">
        <is>
          <t>GCA_053709775.1</t>
        </is>
      </c>
      <c r="C128" s="19" t="inlineStr">
        <is>
          <t>B (GenBank assembly)</t>
        </is>
      </c>
      <c r="F128" s="19" t="n">
        <v>205</v>
      </c>
      <c r="G128" s="19" t="n">
        <v>5100318</v>
      </c>
      <c r="H128" s="19" t="n">
        <v>111077</v>
      </c>
      <c r="I128" s="19" t="n">
        <v>50.51</v>
      </c>
      <c r="J128" s="19" t="inlineStr">
        <is>
          <t>PASS</t>
        </is>
      </c>
      <c r="K128" s="19" t="inlineStr">
        <is>
          <t>mcr-9.1</t>
        </is>
      </c>
      <c r="L128" s="19" t="inlineStr">
        <is>
          <t>mcr-9.1</t>
        </is>
      </c>
      <c r="M128" s="19" t="inlineStr">
        <is>
          <t>ALLELEX</t>
        </is>
      </c>
      <c r="N128" s="19" t="inlineStr">
        <is>
          <t>100.00</t>
        </is>
      </c>
      <c r="O128" s="19" t="inlineStr">
        <is>
          <t>100.00</t>
        </is>
      </c>
      <c r="P128" s="19" t="inlineStr">
        <is>
          <t>JBSKJU010000076.1</t>
        </is>
      </c>
      <c r="Q128" s="19" t="inlineStr">
        <is>
          <t>mcr-9.1</t>
        </is>
      </c>
      <c r="R128" s="19" t="inlineStr">
        <is>
          <t>mcr-9.1_1</t>
        </is>
      </c>
      <c r="T128" s="19" t="inlineStr">
        <is>
          <t>chromosome</t>
        </is>
      </c>
      <c r="V128" s="19" t="inlineStr">
        <is>
          <t>MOBP</t>
        </is>
      </c>
      <c r="X128" s="19" t="n">
        <v>297</v>
      </c>
      <c r="Y128" s="19" t="inlineStr">
        <is>
          <t>adk(6) fumC(65) gyrB(32) icd(26) mdh(9) purA(8) recA(2)</t>
        </is>
      </c>
      <c r="Z128" s="19" t="inlineStr">
        <is>
          <t>IncI1_1_Alpha, IncI2_1</t>
        </is>
      </c>
    </row>
  </sheetData>
  <autoFilter ref="A1:Z1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2026-09-26T17:44:43Z</dcterms:created>
  <dcterms:modified xmlns:dcterms="http://purl.org/dc/terms/" xmlns:xsi="http://www.w3.org/2001/XMLSchema-instance" xsi:type="dcterms:W3CDTF">2026-10-08T14:10:08Z</dcterms:modified>
  <cp:revision>0</cp:revision>
</cp:coreProperties>
</file>